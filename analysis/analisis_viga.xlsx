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13835aad74d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isis" sheetId="1" r:id="R34f07f964d2b4de8"/>
    <x:sheet xmlns:r="http://schemas.openxmlformats.org/officeDocument/2006/relationships" name="Datos" sheetId="2" r:id="R33a286ab7574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"/>
    <x:numFmt numFmtId="201" formatCode="0.00%"/>
    <x:numFmt numFmtId="202" formatCode="0.000E+00"/>
    <x:numFmt numFmtId="203" formatCode="0.0000000000"/>
    <x:numFmt numFmtId="204" formatCode="0.00000"/>
    <x:numFmt numFmtId="205" formatCode="0"/>
    <x:numFmt numFmtId="206" formatCode="0.000000"/>
    <x:numFmt numFmtId="207" formatCode="0.00000E+00"/>
  </x:numFmts>
  <x:fonts count="6">
    <x:font>
      <x:sz val="11"/>
      <x:name val="Carlito"/>
    </x:font>
    <x:font>
      <x:sz val="11"/>
      <x:color rgb="FF202C3A"/>
      <x:name val="Arial"/>
    </x:font>
    <x:font>
      <x:b/>
      <x:sz val="16"/>
      <x:color rgb="FF203F64"/>
      <x:name val="Arial"/>
    </x:font>
    <x:font>
      <x:b/>
      <x:sz val="12"/>
      <x:color rgb="FF203F64"/>
      <x:name val="Arial"/>
    </x:font>
    <x:font>
      <x:sz val="10"/>
      <x:color rgb="FF55616E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F64"/>
      </x:patternFill>
    </x:fill>
    <x:fill>
      <x:patternFill patternType="solid">
        <x:fgColor rgb="FFF0F4F8"/>
      </x:patternFill>
    </x:fill>
    <x:fill>
      <x:patternFill patternType="solid">
        <x:fgColor rgb="FFFFF0C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03F64"/>
      </x:bottom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6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71ac05cafb43ab" /><Relationship Type="http://schemas.openxmlformats.org/officeDocument/2006/relationships/theme" Target="/xl/theme/theme1.xml" Id="R5b29f48cd1094017" /><Relationship Type="http://schemas.openxmlformats.org/officeDocument/2006/relationships/sharedStrings" Target="/xl/sharedStrings.xml" Id="Rdd4a22a8a5f942f9" /><Relationship Type="http://schemas.openxmlformats.org/officeDocument/2006/relationships/worksheet" Target="/xl/worksheets/sheet1.xml" Id="R34f07f964d2b4de8" /><Relationship Type="http://schemas.openxmlformats.org/officeDocument/2006/relationships/worksheet" Target="/xl/worksheets/sheet2.xml" Id="R33a286ab757440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5473c61f3143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Carga y deflexión central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ser>
          <c:idx val="0"/>
          <c:order val="0"/>
          <c:tx>
            <c:v>δ medida (mm)</c:v>
          </c:tx>
          <c:spPr>
            <a:solidFill xmlns:a="http://schemas.openxmlformats.org/drawingml/2006/main">
              <a:srgbClr val="C45B27"/>
            </a:solidFill>
            <a:ln xmlns:a="http://schemas.openxmlformats.org/drawingml/2006/main" w="19050">
              <a:solidFill>
                <a:srgbClr val="C45B27"/>
              </a:solidFill>
              <a:prstDash val="solid"/>
            </a:ln>
          </c:spPr>
          <c:xVal>
            <c:numRef>
              <c:f>'Analisis'!$B$24:$B$32</c:f>
              <c:numCache>
                <c:formatCode>0</c:formatCode>
                <c:ptCount val="0"/>
              </c:numCache>
            </c:numRef>
          </c:xVal>
          <c:yVal>
            <c:numRef>
              <c:f>'Analisis'!$D$24:$D$32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δ teórica (mm)</c:v>
          </c:tx>
          <c:spPr>
            <a:solidFill xmlns:a="http://schemas.openxmlformats.org/drawingml/2006/main">
              <a:srgbClr val="087E8B"/>
            </a:solidFill>
            <a:ln xmlns:a="http://schemas.openxmlformats.org/drawingml/2006/main" w="19050">
              <a:solidFill>
                <a:srgbClr val="087E8B"/>
              </a:solidFill>
              <a:prstDash val="dash"/>
            </a:ln>
          </c:spPr>
          <c:xVal>
            <c:numRef>
              <c:f>'Analisis'!$B$24:$B$32</c:f>
              <c:numCache>
                <c:formatCode>0</c:formatCode>
                <c:ptCount val="0"/>
              </c:numCache>
            </c:numRef>
          </c:xVal>
          <c:yVal>
            <c:numRef>
              <c:f>'Analisis'!$F$24:$F$32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Deflexión δ (mm)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Carga P (kN)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5473c61f31430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e9b9fbe687243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5" hidden="0" customWidth="1"/>
    <x:col min="4" max="4" width="15" hidden="0" customWidth="1"/>
    <x:col min="5" max="5" width="17" hidden="0" customWidth="1"/>
    <x:col min="6" max="6" width="16" hidden="0" customWidth="1"/>
    <x:col min="7" max="7" width="15" hidden="0" customWidth="1"/>
    <x:col min="8" max="8" width="15" hidden="0" customWidth="1"/>
    <x:col min="9" max="9" width="17" hidden="0" customWidth="1"/>
    <x:col min="10" max="10" width="19" hidden="0" customWidth="1"/>
    <x:col min="11" max="11" width="19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Viga simplemente apoyada: carga y deflexión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2" customHeight="1">
      <x:c r="A4" s="2" t="str">
        <x:v>Carga máxima</x:v>
      </x:c>
      <x:c r="B4" s="2"/>
      <x:c r="C4" s="2"/>
      <x:c r="D4" s="6" t="n">
        <x:f>MAX(B24:B32)</x:f>
        <x:v>40</x:v>
      </x:c>
      <x:c r="E4" s="2" t="str">
        <x:v>kN</x:v>
      </x:c>
      <x:c r="F4" s="2"/>
      <x:c r="G4" s="2"/>
      <x:c r="H4" s="2"/>
      <x:c r="I4" s="2"/>
      <x:c r="J4" s="2"/>
      <x:c r="K4" s="2"/>
    </x:row>
    <x:row r="5" ht="22" customHeight="1">
      <x:c r="A5" s="2" t="str">
        <x:v>Deflexión medida máxima</x:v>
      </x:c>
      <x:c r="B5" s="2"/>
      <x:c r="C5" s="2"/>
      <x:c r="D5" s="6" t="n">
        <x:f>MAX(D24:D32)</x:f>
        <x:v>2.05</x:v>
      </x:c>
      <x:c r="E5" s="2" t="str">
        <x:v>mm</x:v>
      </x:c>
      <x:c r="F5" s="2"/>
      <x:c r="G5" s="2"/>
      <x:c r="H5" s="2"/>
      <x:c r="I5" s="2"/>
      <x:c r="J5" s="2"/>
      <x:c r="K5" s="2"/>
    </x:row>
    <x:row r="6" ht="22" customHeight="1">
      <x:c r="A6" s="2" t="str">
        <x:v>Deflexión teórica máxima</x:v>
      </x:c>
      <x:c r="B6" s="2"/>
      <x:c r="C6" s="2"/>
      <x:c r="D6" s="6" t="n">
        <x:f>MAX(F24:F32)</x:f>
        <x:v>1.9999999999999996</x:v>
      </x:c>
      <x:c r="E6" s="2" t="str">
        <x:v>mm</x:v>
      </x:c>
      <x:c r="F6" s="2"/>
      <x:c r="G6" s="2"/>
      <x:c r="H6" s="2"/>
      <x:c r="I6" s="2"/>
      <x:c r="J6" s="2"/>
      <x:c r="K6" s="2"/>
    </x:row>
    <x:row r="7" ht="22" customHeight="1">
      <x:c r="A7" s="2" t="str">
        <x:v>Diferencia relativa máxima</x:v>
      </x:c>
      <x:c r="B7" s="2"/>
      <x:c r="C7" s="2"/>
      <x:c r="D7" s="7" t="n">
        <x:f>MAX(I24:I32)</x:f>
        <x:v>0.040000000000000265</x:v>
      </x:c>
      <x:c r="E7" s="2" t="str"/>
      <x:c r="F7" s="2"/>
      <x:c r="G7" s="2"/>
      <x:c r="H7" s="2"/>
      <x:c r="I7" s="2"/>
      <x:c r="J7" s="2"/>
      <x:c r="K7" s="2"/>
    </x:row>
    <x:row r="8" ht="22" customHeight="1">
      <x:c r="A8" s="2" t="str">
        <x:v>Diferencia relativa media</x:v>
      </x:c>
      <x:c r="B8" s="2"/>
      <x:c r="C8" s="2"/>
      <x:c r="D8" s="7" t="n">
        <x:f>AVERAGE(I24:I32)</x:f>
        <x:v>0.018803571428571635</x:v>
      </x:c>
      <x:c r="E8" s="2" t="str"/>
      <x:c r="F8" s="2"/>
      <x:c r="G8" s="2"/>
      <x:c r="H8" s="2"/>
      <x:c r="I8" s="2"/>
      <x:c r="J8" s="2"/>
      <x:c r="K8" s="2"/>
    </x:row>
    <x:row r="9" ht="22" customHeight="1">
      <x:c r="A9" s="8" t="str">
        <x:v>La media relativa considera ocho cargas mayores que cero.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2" customHeight="1">
      <x:c r="A10" s="5" t="str">
        <x:v>Parámetros y conversiones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44" customHeight="1">
      <x:c r="A11" s="12" t="str">
        <x:v>Variable</x:v>
      </x:c>
      <x:c r="B11" s="12" t="str">
        <x:v>Original</x:v>
      </x:c>
      <x:c r="C11" s="12" t="str">
        <x:v>Unidad</x:v>
      </x:c>
      <x:c r="D11" s="12" t="str">
        <x:v>Convertido</x:v>
      </x:c>
      <x:c r="E11" s="12" t="str">
        <x:v>Unidad</x:v>
      </x:c>
      <x:c r="F11" s="2"/>
      <x:c r="G11" s="2"/>
      <x:c r="H11" s="2"/>
      <x:c r="I11" s="2"/>
      <x:c r="J11" s="2"/>
      <x:c r="K11" s="2"/>
    </x:row>
    <x:row r="12" ht="22" customHeight="1">
      <x:c r="A12" s="2" t="str">
        <x:f>'Datos'!A6</x:f>
        <x:v>L</x:v>
      </x:c>
      <x:c r="B12" s="13" t="n">
        <x:f>'Datos'!B6</x:f>
        <x:v>4</x:v>
      </x:c>
      <x:c r="C12" s="2" t="str">
        <x:f>'Datos'!C6</x:f>
        <x:v>m</x:v>
      </x:c>
      <x:c r="D12" s="13" t="n">
        <x:f>B12</x:f>
        <x:v>4</x:v>
      </x:c>
      <x:c r="E12" s="2" t="str">
        <x:v>m</x:v>
      </x:c>
      <x:c r="F12" s="2"/>
      <x:c r="G12" s="2"/>
      <x:c r="H12" s="2"/>
      <x:c r="I12" s="2"/>
      <x:c r="J12" s="2"/>
      <x:c r="K12" s="2"/>
    </x:row>
    <x:row r="13" ht="22" customHeight="1">
      <x:c r="A13" s="2" t="str">
        <x:f>'Datos'!A7</x:f>
        <x:v>b</x:v>
      </x:c>
      <x:c r="B13" s="13" t="n">
        <x:f>'Datos'!B7</x:f>
        <x:v>0.2</x:v>
      </x:c>
      <x:c r="C13" s="2" t="str">
        <x:f>'Datos'!C7</x:f>
        <x:v>m</x:v>
      </x:c>
      <x:c r="D13" s="13" t="n">
        <x:f>B13</x:f>
        <x:v>0.2</x:v>
      </x:c>
      <x:c r="E13" s="2" t="str">
        <x:v>m</x:v>
      </x:c>
      <x:c r="F13" s="2"/>
      <x:c r="G13" s="2"/>
      <x:c r="H13" s="2"/>
      <x:c r="I13" s="2"/>
      <x:c r="J13" s="2"/>
      <x:c r="K13" s="2"/>
    </x:row>
    <x:row r="14" ht="22" customHeight="1">
      <x:c r="A14" s="2" t="str">
        <x:f>'Datos'!A8</x:f>
        <x:v>h</x:v>
      </x:c>
      <x:c r="B14" s="13" t="n">
        <x:f>'Datos'!B8</x:f>
        <x:v>0.4</x:v>
      </x:c>
      <x:c r="C14" s="2" t="str">
        <x:f>'Datos'!C8</x:f>
        <x:v>m</x:v>
      </x:c>
      <x:c r="D14" s="13" t="n">
        <x:f>B14</x:f>
        <x:v>0.4</x:v>
      </x:c>
      <x:c r="E14" s="2" t="str">
        <x:v>m</x:v>
      </x:c>
      <x:c r="F14" s="2"/>
      <x:c r="G14" s="2"/>
      <x:c r="H14" s="2"/>
      <x:c r="I14" s="2"/>
      <x:c r="J14" s="2"/>
      <x:c r="K14" s="2"/>
    </x:row>
    <x:row r="15" ht="22" customHeight="1">
      <x:c r="A15" s="2" t="str">
        <x:f>'Datos'!A9</x:f>
        <x:v>E</x:v>
      </x:c>
      <x:c r="B15" s="13" t="n">
        <x:f>'Datos'!B9</x:f>
        <x:v>25</x:v>
      </x:c>
      <x:c r="C15" s="2" t="str">
        <x:f>'Datos'!C9</x:f>
        <x:v>GPa</x:v>
      </x:c>
      <x:c r="D15" s="14" t="n">
        <x:f>B15*10^9</x:f>
        <x:v>25000000000</x:v>
      </x:c>
      <x:c r="E15" s="2" t="str">
        <x:v>N/m²</x:v>
      </x:c>
      <x:c r="F15" s="2"/>
      <x:c r="G15" s="2"/>
      <x:c r="H15" s="2"/>
      <x:c r="I15" s="2"/>
      <x:c r="J15" s="2"/>
      <x:c r="K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2" customHeight="1">
      <x:c r="A17" s="2" t="str">
        <x:v>I = b h³/12</x:v>
      </x:c>
      <x:c r="B17" s="2"/>
      <x:c r="C17" s="2"/>
      <x:c r="D17" s="15" t="n">
        <x:f>D13*D14^3/12</x:f>
        <x:v>0.001066666666666667</x:v>
      </x:c>
      <x:c r="E17" s="2" t="str">
        <x:v>m⁴</x:v>
      </x:c>
      <x:c r="F17" s="2"/>
      <x:c r="G17" s="2"/>
      <x:c r="H17" s="2"/>
      <x:c r="I17" s="2"/>
      <x:c r="J17" s="2"/>
      <x:c r="K17" s="2"/>
    </x:row>
    <x:row r="18" ht="22" customHeight="1">
      <x:c r="A18" s="2" t="str">
        <x:v>δteo/P</x:v>
      </x:c>
      <x:c r="B18" s="2"/>
      <x:c r="C18" s="2"/>
      <x:c r="D18" s="16" t="n">
        <x:f>D12^3/(48*D15*D17)*10^6</x:f>
        <x:v>0.04999999999999999</x:v>
      </x:c>
      <x:c r="E18" s="2" t="str">
        <x:v>mm/kN</x:v>
      </x:c>
      <x:c r="F18" s="2"/>
      <x:c r="G18" s="2"/>
      <x:c r="H18" s="2"/>
      <x:c r="I18" s="2"/>
      <x:c r="J18" s="2"/>
      <x:c r="K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2" customHeight="1">
      <x:c r="A20" s="8" t="str">
        <x:v>Conversiones: 1 kN = 1000 N; 1 GPa = 10⁹ N/m²; 1 m = 1000 mm.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2" customHeight="1">
      <x:c r="A22" s="5" t="str">
        <x:v>Comparación por carga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44" customHeight="1">
      <x:c r="A23" s="12" t="str">
        <x:v>Fila CSV</x:v>
      </x:c>
      <x:c r="B23" s="12" t="str">
        <x:v>P (kN)</x:v>
      </x:c>
      <x:c r="C23" s="12" t="str">
        <x:v>P (N)</x:v>
      </x:c>
      <x:c r="D23" s="12" t="str">
        <x:v>δ medida (mm)</x:v>
      </x:c>
      <x:c r="E23" s="12" t="str">
        <x:v>δ teórica (m)</x:v>
      </x:c>
      <x:c r="F23" s="12" t="str">
        <x:v>δ teórica (mm)</x:v>
      </x:c>
      <x:c r="G23" s="12" t="str">
        <x:v>Δ (mm)</x:v>
      </x:c>
      <x:c r="H23" s="12" t="str">
        <x:v>|Δ| (mm)</x:v>
      </x:c>
      <x:c r="I23" s="12" t="str">
        <x:v>Diferencia relativa</x:v>
      </x:c>
      <x:c r="J23" s="12" t="str">
        <x:v>δmed/P (mm/kN)</x:v>
      </x:c>
      <x:c r="K23" s="12" t="str">
        <x:v>δteo/P (mm/kN)</x:v>
      </x:c>
    </x:row>
    <x:row r="24" ht="22" customHeight="1">
      <x:c r="A24" s="25" t="n">
        <x:f>'Datos'!A14</x:f>
        <x:v>2</x:v>
      </x:c>
      <x:c r="B24" s="25" t="n">
        <x:f>'Datos'!B14</x:f>
        <x:v>0</x:v>
      </x:c>
      <x:c r="C24" s="25" t="n">
        <x:f>B24*1000</x:f>
        <x:v>0</x:v>
      </x:c>
      <x:c r="D24" s="26" t="n">
        <x:f>'Datos'!C14</x:f>
        <x:v>0</x:v>
      </x:c>
      <x:c r="E24" s="27" t="n">
        <x:f>C24*$D$12^3/(48*$D$15*$D$17)</x:f>
        <x:v>0</x:v>
      </x:c>
      <x:c r="F24" s="26" t="n">
        <x:f>E24*1000</x:f>
        <x:v>0</x:v>
      </x:c>
      <x:c r="G24" s="26" t="n">
        <x:f>D24-F24</x:f>
        <x:v>0</x:v>
      </x:c>
      <x:c r="H24" s="26" t="n">
        <x:f>ABS(G24)</x:f>
        <x:v>0</x:v>
      </x:c>
      <x:c r="I24" s="28" t="str">
        <x:f>IF(B24=0,"n.a.",H24/ABS(F24))</x:f>
        <x:v>n.a.</x:v>
      </x:c>
      <x:c r="J24" s="29" t="str">
        <x:f>IF(B24=0,"n.a.",D24/B24)</x:f>
        <x:v>n.a.</x:v>
      </x:c>
      <x:c r="K24" s="29" t="str">
        <x:f>IF(B24=0,"n.a.",F24/B24)</x:f>
        <x:v>n.a.</x:v>
      </x:c>
    </x:row>
    <x:row r="25" ht="22" customHeight="1">
      <x:c r="A25" s="20" t="n">
        <x:f>'Datos'!A15</x:f>
        <x:v>3</x:v>
      </x:c>
      <x:c r="B25" s="20" t="n">
        <x:f>'Datos'!B15</x:f>
        <x:v>5</x:v>
      </x:c>
      <x:c r="C25" s="20" t="n">
        <x:f>B25*1000</x:f>
        <x:v>5000</x:v>
      </x:c>
      <x:c r="D25" s="21" t="n">
        <x:f>'Datos'!C15</x:f>
        <x:v>0.26</x:v>
      </x:c>
      <x:c r="E25" s="22" t="n">
        <x:f>C25*$D$12^3/(48*$D$15*$D$17)</x:f>
        <x:v>0.00024999999999999995</x:v>
      </x:c>
      <x:c r="F25" s="21" t="n">
        <x:f>E25*1000</x:f>
        <x:v>0.24999999999999994</x:v>
      </x:c>
      <x:c r="G25" s="21" t="n">
        <x:f>D25-F25</x:f>
        <x:v>0.010000000000000064</x:v>
      </x:c>
      <x:c r="H25" s="21" t="n">
        <x:f>ABS(G25)</x:f>
        <x:v>0.010000000000000064</x:v>
      </x:c>
      <x:c r="I25" s="23" t="n">
        <x:f>IF(B25=0,"n.a.",H25/ABS(F25))</x:f>
        <x:v>0.040000000000000265</x:v>
      </x:c>
      <x:c r="J25" s="24" t="n">
        <x:f>IF(B25=0,"n.a.",D25/B25)</x:f>
        <x:v>0.052000000000000005</x:v>
      </x:c>
      <x:c r="K25" s="24" t="n">
        <x:f>IF(B25=0,"n.a.",F25/B25)</x:f>
        <x:v>0.04999999999999999</x:v>
      </x:c>
    </x:row>
    <x:row r="26" ht="22" customHeight="1">
      <x:c r="A26" s="25" t="n">
        <x:f>'Datos'!A16</x:f>
        <x:v>4</x:v>
      </x:c>
      <x:c r="B26" s="25" t="n">
        <x:f>'Datos'!B16</x:f>
        <x:v>10</x:v>
      </x:c>
      <x:c r="C26" s="25" t="n">
        <x:f>B26*1000</x:f>
        <x:v>10000</x:v>
      </x:c>
      <x:c r="D26" s="26" t="n">
        <x:f>'Datos'!C16</x:f>
        <x:v>0.5</x:v>
      </x:c>
      <x:c r="E26" s="27" t="n">
        <x:f>C26*$D$12^3/(48*$D$15*$D$17)</x:f>
        <x:v>0.0004999999999999999</x:v>
      </x:c>
      <x:c r="F26" s="26" t="n">
        <x:f>E26*1000</x:f>
        <x:v>0.4999999999999999</x:v>
      </x:c>
      <x:c r="G26" s="26" t="n">
        <x:f>D26-F26</x:f>
        <x:v>1.1102230246251565e-16</x:v>
      </x:c>
      <x:c r="H26" s="26" t="n">
        <x:f>ABS(G26)</x:f>
        <x:v>1.1102230246251565e-16</x:v>
      </x:c>
      <x:c r="I26" s="28" t="n">
        <x:f>IF(B26=0,"n.a.",H26/ABS(F26))</x:f>
        <x:v>2.2204460492503136e-16</x:v>
      </x:c>
      <x:c r="J26" s="29" t="n">
        <x:f>IF(B26=0,"n.a.",D26/B26)</x:f>
        <x:v>0.05</x:v>
      </x:c>
      <x:c r="K26" s="29" t="n">
        <x:f>IF(B26=0,"n.a.",F26/B26)</x:f>
        <x:v>0.04999999999999999</x:v>
      </x:c>
    </x:row>
    <x:row r="27" ht="22" customHeight="1">
      <x:c r="A27" s="20" t="n">
        <x:f>'Datos'!A17</x:f>
        <x:v>5</x:v>
      </x:c>
      <x:c r="B27" s="20" t="n">
        <x:f>'Datos'!B17</x:f>
        <x:v>15</x:v>
      </x:c>
      <x:c r="C27" s="20" t="n">
        <x:f>B27*1000</x:f>
        <x:v>15000</x:v>
      </x:c>
      <x:c r="D27" s="21" t="n">
        <x:f>'Datos'!C17</x:f>
        <x:v>0.76</x:v>
      </x:c>
      <x:c r="E27" s="22" t="n">
        <x:f>C27*$D$12^3/(48*$D$15*$D$17)</x:f>
        <x:v>0.0007499999999999999</x:v>
      </x:c>
      <x:c r="F27" s="21" t="n">
        <x:f>E27*1000</x:f>
        <x:v>0.7499999999999999</x:v>
      </x:c>
      <x:c r="G27" s="21" t="n">
        <x:f>D27-F27</x:f>
        <x:v>0.01000000000000012</x:v>
      </x:c>
      <x:c r="H27" s="21" t="n">
        <x:f>ABS(G27)</x:f>
        <x:v>0.01000000000000012</x:v>
      </x:c>
      <x:c r="I27" s="23" t="n">
        <x:f>IF(B27=0,"n.a.",H27/ABS(F27))</x:f>
        <x:v>0.013333333333333496</x:v>
      </x:c>
      <x:c r="J27" s="24" t="n">
        <x:f>IF(B27=0,"n.a.",D27/B27)</x:f>
        <x:v>0.050666666666666665</x:v>
      </x:c>
      <x:c r="K27" s="24" t="n">
        <x:f>IF(B27=0,"n.a.",F27/B27)</x:f>
        <x:v>0.049999999999999996</x:v>
      </x:c>
    </x:row>
    <x:row r="28" ht="22" customHeight="1">
      <x:c r="A28" s="25" t="n">
        <x:f>'Datos'!A18</x:f>
        <x:v>6</x:v>
      </x:c>
      <x:c r="B28" s="25" t="n">
        <x:f>'Datos'!B18</x:f>
        <x:v>20</x:v>
      </x:c>
      <x:c r="C28" s="25" t="n">
        <x:f>B28*1000</x:f>
        <x:v>20000</x:v>
      </x:c>
      <x:c r="D28" s="26" t="n">
        <x:f>'Datos'!C18</x:f>
        <x:v>1.01</x:v>
      </x:c>
      <x:c r="E28" s="27" t="n">
        <x:f>C28*$D$12^3/(48*$D$15*$D$17)</x:f>
        <x:v>0.0009999999999999998</x:v>
      </x:c>
      <x:c r="F28" s="26" t="n">
        <x:f>E28*1000</x:f>
        <x:v>0.9999999999999998</x:v>
      </x:c>
      <x:c r="G28" s="26" t="n">
        <x:f>D28-F28</x:f>
        <x:v>0.010000000000000231</x:v>
      </x:c>
      <x:c r="H28" s="26" t="n">
        <x:f>ABS(G28)</x:f>
        <x:v>0.010000000000000231</x:v>
      </x:c>
      <x:c r="I28" s="28" t="n">
        <x:f>IF(B28=0,"n.a.",H28/ABS(F28))</x:f>
        <x:v>0.010000000000000233</x:v>
      </x:c>
      <x:c r="J28" s="29" t="n">
        <x:f>IF(B28=0,"n.a.",D28/B28)</x:f>
        <x:v>0.0505</x:v>
      </x:c>
      <x:c r="K28" s="29" t="n">
        <x:f>IF(B28=0,"n.a.",F28/B28)</x:f>
        <x:v>0.04999999999999999</x:v>
      </x:c>
    </x:row>
    <x:row r="29" ht="22" customHeight="1">
      <x:c r="A29" s="20" t="n">
        <x:f>'Datos'!A19</x:f>
        <x:v>7</x:v>
      </x:c>
      <x:c r="B29" s="20" t="n">
        <x:f>'Datos'!B19</x:f>
        <x:v>25</x:v>
      </x:c>
      <x:c r="C29" s="20" t="n">
        <x:f>B29*1000</x:f>
        <x:v>25000</x:v>
      </x:c>
      <x:c r="D29" s="21" t="n">
        <x:f>'Datos'!C19</x:f>
        <x:v>1.28</x:v>
      </x:c>
      <x:c r="E29" s="22" t="n">
        <x:f>C29*$D$12^3/(48*$D$15*$D$17)</x:f>
        <x:v>0.0012499999999999998</x:v>
      </x:c>
      <x:c r="F29" s="21" t="n">
        <x:f>E29*1000</x:f>
        <x:v>1.2499999999999998</x:v>
      </x:c>
      <x:c r="G29" s="21" t="n">
        <x:f>D29-F29</x:f>
        <x:v>0.03000000000000025</x:v>
      </x:c>
      <x:c r="H29" s="21" t="n">
        <x:f>ABS(G29)</x:f>
        <x:v>0.03000000000000025</x:v>
      </x:c>
      <x:c r="I29" s="23" t="n">
        <x:f>IF(B29=0,"n.a.",H29/ABS(F29))</x:f>
        <x:v>0.0240000000000002</x:v>
      </x:c>
      <x:c r="J29" s="24" t="n">
        <x:f>IF(B29=0,"n.a.",D29/B29)</x:f>
        <x:v>0.0512</x:v>
      </x:c>
      <x:c r="K29" s="24" t="n">
        <x:f>IF(B29=0,"n.a.",F29/B29)</x:f>
        <x:v>0.04999999999999999</x:v>
      </x:c>
    </x:row>
    <x:row r="30" ht="22" customHeight="1">
      <x:c r="A30" s="25" t="n">
        <x:f>'Datos'!A20</x:f>
        <x:v>8</x:v>
      </x:c>
      <x:c r="B30" s="25" t="n">
        <x:f>'Datos'!B20</x:f>
        <x:v>30</x:v>
      </x:c>
      <x:c r="C30" s="25" t="n">
        <x:f>B30*1000</x:f>
        <x:v>30000</x:v>
      </x:c>
      <x:c r="D30" s="26" t="n">
        <x:f>'Datos'!C20</x:f>
        <x:v>1.54</x:v>
      </x:c>
      <x:c r="E30" s="27" t="n">
        <x:f>C30*$D$12^3/(48*$D$15*$D$17)</x:f>
        <x:v>0.0014999999999999998</x:v>
      </x:c>
      <x:c r="F30" s="26" t="n">
        <x:f>E30*1000</x:f>
        <x:v>1.4999999999999998</x:v>
      </x:c>
      <x:c r="G30" s="26" t="n">
        <x:f>D30-F30</x:f>
        <x:v>0.04000000000000026</x:v>
      </x:c>
      <x:c r="H30" s="26" t="n">
        <x:f>ABS(G30)</x:f>
        <x:v>0.04000000000000026</x:v>
      </x:c>
      <x:c r="I30" s="28" t="n">
        <x:f>IF(B30=0,"n.a.",H30/ABS(F30))</x:f>
        <x:v>0.026666666666666842</x:v>
      </x:c>
      <x:c r="J30" s="29" t="n">
        <x:f>IF(B30=0,"n.a.",D30/B30)</x:f>
        <x:v>0.051333333333333335</x:v>
      </x:c>
      <x:c r="K30" s="29" t="n">
        <x:f>IF(B30=0,"n.a.",F30/B30)</x:f>
        <x:v>0.049999999999999996</x:v>
      </x:c>
    </x:row>
    <x:row r="31" ht="22" customHeight="1">
      <x:c r="A31" s="20" t="n">
        <x:f>'Datos'!A21</x:f>
        <x:v>9</x:v>
      </x:c>
      <x:c r="B31" s="20" t="n">
        <x:f>'Datos'!B21</x:f>
        <x:v>35</x:v>
      </x:c>
      <x:c r="C31" s="20" t="n">
        <x:f>B31*1000</x:f>
        <x:v>35000</x:v>
      </x:c>
      <x:c r="D31" s="21" t="n">
        <x:f>'Datos'!C21</x:f>
        <x:v>1.77</x:v>
      </x:c>
      <x:c r="E31" s="22" t="n">
        <x:f>C31*$D$12^3/(48*$D$15*$D$17)</x:f>
        <x:v>0.0017499999999999996</x:v>
      </x:c>
      <x:c r="F31" s="21" t="n">
        <x:f>E31*1000</x:f>
        <x:v>1.7499999999999996</x:v>
      </x:c>
      <x:c r="G31" s="21" t="n">
        <x:f>D31-F31</x:f>
        <x:v>0.020000000000000462</x:v>
      </x:c>
      <x:c r="H31" s="21" t="n">
        <x:f>ABS(G31)</x:f>
        <x:v>0.020000000000000462</x:v>
      </x:c>
      <x:c r="I31" s="23" t="n">
        <x:f>IF(B31=0,"n.a.",H31/ABS(F31))</x:f>
        <x:v>0.011428571428571696</x:v>
      </x:c>
      <x:c r="J31" s="24" t="n">
        <x:f>IF(B31=0,"n.a.",D31/B31)</x:f>
        <x:v>0.05057142857142857</x:v>
      </x:c>
      <x:c r="K31" s="24" t="n">
        <x:f>IF(B31=0,"n.a.",F31/B31)</x:f>
        <x:v>0.04999999999999999</x:v>
      </x:c>
    </x:row>
    <x:row r="32" ht="22" customHeight="1">
      <x:c r="A32" s="25" t="n">
        <x:f>'Datos'!A22</x:f>
        <x:v>10</x:v>
      </x:c>
      <x:c r="B32" s="25" t="n">
        <x:f>'Datos'!B22</x:f>
        <x:v>40</x:v>
      </x:c>
      <x:c r="C32" s="25" t="n">
        <x:f>B32*1000</x:f>
        <x:v>40000</x:v>
      </x:c>
      <x:c r="D32" s="26" t="n">
        <x:f>'Datos'!C22</x:f>
        <x:v>2.05</x:v>
      </x:c>
      <x:c r="E32" s="27" t="n">
        <x:f>C32*$D$12^3/(48*$D$15*$D$17)</x:f>
        <x:v>0.0019999999999999996</x:v>
      </x:c>
      <x:c r="F32" s="26" t="n">
        <x:f>E32*1000</x:f>
        <x:v>1.9999999999999996</x:v>
      </x:c>
      <x:c r="G32" s="26" t="n">
        <x:f>D32-F32</x:f>
        <x:v>0.050000000000000266</x:v>
      </x:c>
      <x:c r="H32" s="26" t="n">
        <x:f>ABS(G32)</x:f>
        <x:v>0.050000000000000266</x:v>
      </x:c>
      <x:c r="I32" s="28" t="n">
        <x:f>IF(B32=0,"n.a.",H32/ABS(F32))</x:f>
        <x:v>0.02500000000000014</x:v>
      </x:c>
      <x:c r="J32" s="29" t="n">
        <x:f>IF(B32=0,"n.a.",D32/B32)</x:f>
        <x:v>0.05125</x:v>
      </x:c>
      <x:c r="K32" s="29" t="n">
        <x:f>IF(B32=0,"n.a.",F32/B32)</x:f>
        <x:v>0.04999999999999999</x:v>
      </x:c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2" customHeight="1">
      <x:c r="A34" s="8" t="str">
        <x:v>Δ = δmed − δteo. Diferencia relativa = |Δ|/|δteo|, expresada como porcentaje.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2" customHeight="1">
      <x:c r="A35" s="8" t="str">
        <x:v>n.a.: no aplica para P = 0, pues el denominador es cero. La fila se conserva en la tabla y en la figura.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2" customHeight="1">
      <x:c r="A37" s="5" t="str">
        <x:v>Verificaciones adicionales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2" customHeight="1">
      <x:c r="A39" s="2" t="str">
        <x:v>δmed/P mínimo</x:v>
      </x:c>
      <x:c r="B39" s="2"/>
      <x:c r="C39" s="2"/>
      <x:c r="D39" s="2"/>
      <x:c r="E39" s="16" t="n">
        <x:f>MIN(J24:J32)</x:f>
        <x:v>0.05</x:v>
      </x:c>
      <x:c r="F39" s="2" t="str">
        <x:v>mm/kN</x:v>
      </x:c>
      <x:c r="G39" s="2"/>
      <x:c r="H39" s="2"/>
      <x:c r="I39" s="2"/>
      <x:c r="J39" s="2"/>
      <x:c r="K39" s="2"/>
    </x:row>
    <x:row r="40" ht="22" customHeight="1">
      <x:c r="A40" s="2" t="str">
        <x:v>δmed/P máximo</x:v>
      </x:c>
      <x:c r="B40" s="2"/>
      <x:c r="C40" s="2"/>
      <x:c r="D40" s="2"/>
      <x:c r="E40" s="16" t="n">
        <x:f>MAX(J24:J32)</x:f>
        <x:v>0.052000000000000005</x:v>
      </x:c>
      <x:c r="F40" s="2" t="str">
        <x:v>mm/kN</x:v>
      </x:c>
      <x:c r="G40" s="2"/>
      <x:c r="H40" s="2"/>
      <x:c r="I40" s="2"/>
      <x:c r="J40" s="2"/>
      <x:c r="K40" s="2"/>
    </x:row>
    <x:row r="41" ht="22" customHeight="1">
      <x:c r="A41" s="2" t="str">
        <x:v>δmed/P promedio</x:v>
      </x:c>
      <x:c r="B41" s="2"/>
      <x:c r="C41" s="2"/>
      <x:c r="D41" s="2"/>
      <x:c r="E41" s="16" t="n">
        <x:f>AVERAGE(J24:J32)</x:f>
        <x:v>0.050940178571428574</x:v>
      </x:c>
      <x:c r="F41" s="2" t="str">
        <x:v>mm/kN</x:v>
      </x:c>
      <x:c r="G41" s="2"/>
      <x:c r="H41" s="2"/>
      <x:c r="I41" s="2"/>
      <x:c r="J41" s="2"/>
      <x:c r="K41" s="2"/>
    </x:row>
    <x:row r="42" ht="22" customHeight="1">
      <x:c r="A42" s="2" t="str">
        <x:v>δteo/P</x:v>
      </x:c>
      <x:c r="B42" s="2"/>
      <x:c r="C42" s="2"/>
      <x:c r="D42" s="2"/>
      <x:c r="E42" s="16" t="n">
        <x:f>D18</x:f>
        <x:v>0.04999999999999999</x:v>
      </x:c>
      <x:c r="F42" s="2" t="str">
        <x:v>mm/kN</x:v>
      </x:c>
      <x:c r="G42" s="2"/>
      <x:c r="H42" s="2"/>
      <x:c r="I42" s="2"/>
      <x:c r="J42" s="2"/>
      <x:c r="K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2" customHeight="1">
      <x:c r="A44" s="5" t="str">
        <x:v>Comprobación independiente en N y mm, última carga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2" customHeight="1">
      <x:c r="A45" s="2" t="str">
        <x:v>L</x:v>
      </x:c>
      <x:c r="B45" s="17" t="n">
        <x:f>'Datos'!B6*1000</x:f>
        <x:v>4000</x:v>
      </x:c>
      <x:c r="C45" s="2" t="str">
        <x:v>mm</x:v>
      </x:c>
      <x:c r="D45" s="2"/>
      <x:c r="E45" s="2"/>
      <x:c r="F45" s="2"/>
      <x:c r="G45" s="2"/>
      <x:c r="H45" s="2"/>
      <x:c r="I45" s="2"/>
      <x:c r="J45" s="2"/>
      <x:c r="K45" s="2"/>
    </x:row>
    <x:row r="46" ht="22" customHeight="1">
      <x:c r="A46" s="2" t="str">
        <x:v>b</x:v>
      </x:c>
      <x:c r="B46" s="17" t="n">
        <x:f>'Datos'!B7*1000</x:f>
        <x:v>200</x:v>
      </x:c>
      <x:c r="C46" s="2" t="str">
        <x:v>mm</x:v>
      </x:c>
      <x:c r="D46" s="2"/>
      <x:c r="E46" s="2"/>
      <x:c r="F46" s="2"/>
      <x:c r="G46" s="2"/>
      <x:c r="H46" s="2"/>
      <x:c r="I46" s="2"/>
      <x:c r="J46" s="2"/>
      <x:c r="K46" s="2"/>
    </x:row>
    <x:row r="47" ht="22" customHeight="1">
      <x:c r="A47" s="2" t="str">
        <x:v>h</x:v>
      </x:c>
      <x:c r="B47" s="17" t="n">
        <x:f>'Datos'!B8*1000</x:f>
        <x:v>400</x:v>
      </x:c>
      <x:c r="C47" s="2" t="str">
        <x:v>mm</x:v>
      </x:c>
      <x:c r="D47" s="2"/>
      <x:c r="E47" s="2"/>
      <x:c r="F47" s="2"/>
      <x:c r="G47" s="2"/>
      <x:c r="H47" s="2"/>
      <x:c r="I47" s="2"/>
      <x:c r="J47" s="2"/>
      <x:c r="K47" s="2"/>
    </x:row>
    <x:row r="48" ht="22" customHeight="1">
      <x:c r="A48" s="2" t="str">
        <x:v>E</x:v>
      </x:c>
      <x:c r="B48" s="17" t="n">
        <x:f>'Datos'!B9*1000</x:f>
        <x:v>25000</x:v>
      </x:c>
      <x:c r="C48" s="2" t="str">
        <x:v>N/mm²</x:v>
      </x:c>
      <x:c r="D48" s="2"/>
      <x:c r="E48" s="2"/>
      <x:c r="F48" s="2"/>
      <x:c r="G48" s="2"/>
      <x:c r="H48" s="2"/>
      <x:c r="I48" s="2"/>
      <x:c r="J48" s="2"/>
      <x:c r="K48" s="2"/>
    </x:row>
    <x:row r="49" ht="22" customHeight="1">
      <x:c r="A49" s="2" t="str">
        <x:v>I</x:v>
      </x:c>
      <x:c r="B49" s="30" t="n">
        <x:f>B46*B47^3/12</x:f>
        <x:v>1066666666.6666666</x:v>
      </x:c>
      <x:c r="C49" s="2" t="str">
        <x:v>mm⁴</x:v>
      </x:c>
      <x:c r="D49" s="2"/>
      <x:c r="E49" s="2"/>
      <x:c r="F49" s="2"/>
      <x:c r="G49" s="2"/>
      <x:c r="H49" s="2"/>
      <x:c r="I49" s="2"/>
      <x:c r="J49" s="2"/>
      <x:c r="K49" s="2"/>
    </x:row>
    <x:row r="50" ht="22" customHeight="1">
      <x:c r="A50" s="2" t="str">
        <x:v>P</x:v>
      </x:c>
      <x:c r="B50" s="17" t="n">
        <x:f>'Datos'!B22*1000</x:f>
        <x:v>40000</x:v>
      </x:c>
      <x:c r="C50" s="2" t="str">
        <x:v>N</x:v>
      </x:c>
      <x:c r="D50" s="2"/>
      <x:c r="E50" s="2"/>
      <x:c r="F50" s="2"/>
      <x:c r="G50" s="2"/>
      <x:c r="H50" s="2"/>
      <x:c r="I50" s="2"/>
      <x:c r="J50" s="2"/>
      <x:c r="K50" s="2"/>
    </x:row>
    <x:row r="51" ht="22" customHeight="1">
      <x:c r="A51" s="2" t="str">
        <x:v>δ (mm)</x:v>
      </x:c>
      <x:c r="B51" s="18" t="n">
        <x:f>B50*B45^3/(48*B48*B49)</x:f>
        <x:v>2</x:v>
      </x:c>
      <x:c r="C51" s="2" t="str">
        <x:v>mm</x:v>
      </x:c>
      <x:c r="D51" s="2"/>
      <x:c r="E51" s="2"/>
      <x:c r="F51" s="2"/>
      <x:c r="G51" s="2"/>
      <x:c r="H51" s="2"/>
      <x:c r="I51" s="2"/>
      <x:c r="J51" s="2"/>
      <x:c r="K51" s="2"/>
    </x:row>
    <x:row r="52" ht="22" customHeight="1">
      <x:c r="A52" s="2" t="str">
        <x:v>|δ − F32|</x:v>
      </x:c>
      <x:c r="B52" s="18" t="n">
        <x:f>ABS(B51-F32)</x:f>
        <x:v>4.440892098500626e-16</x:v>
      </x:c>
      <x:c r="C52" s="2" t="str">
        <x:v>mm</x:v>
      </x:c>
      <x:c r="D52" s="2"/>
      <x:c r="E52" s="2"/>
      <x:c r="F52" s="2"/>
      <x:c r="G52" s="2"/>
      <x:c r="H52" s="2"/>
      <x:c r="I52" s="2"/>
      <x:c r="J52" s="2"/>
      <x:c r="K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2" customHeight="1">
      <x:c r="A54" s="8" t="str">
        <x:v>Revisión dimensional: N·m³ / [(N/m²)·m⁴] = m.</x:v>
      </x:c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2" customHeight="1">
      <x:c r="A55" s="8" t="str">
        <x:v>Modelo: E e I constantes, pequeñas deformaciones, carga centrada y apoyos ideales.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2" customHeight="1">
      <x:c r="A56" s="8" t="str">
        <x:v>Se omite la deformación por cortante. Datos sintéticos: la comparación no acredita seguridad estructural.</x:v>
      </x:c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2" customHeight="1">
      <x:c r="A58" s="8" t="str">
        <x:v>Para cambiar entradas, editar únicamente las copias de la hoja Datos. Los originales permanecen en data/.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</x:sheetData>
  <x:pageMargins left="0.7" right="0.7" top="0.75" bottom="0.75" header="0.3" footer="0.3"/>
  <x:drawing xmlns:r="http://schemas.openxmlformats.org/officeDocument/2006/relationships" r:id="R9e9b9fbe687243b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5" hidden="0" customWidth="1"/>
    <x:col min="4" max="4" width="3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Copias de los datos originales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8" t="str">
        <x:v>Fuente: data/parametros_viga.xlsx, hoja Parametros, filas 4 a 7.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4" customHeight="1">
      <x:c r="A5" s="12" t="str">
        <x:v>Parámetro</x:v>
      </x:c>
      <x:c r="B5" s="12" t="str">
        <x:v>Valor</x:v>
      </x:c>
      <x:c r="C5" s="12" t="str">
        <x:v>Unidad</x:v>
      </x:c>
      <x:c r="D5" s="12" t="str">
        <x:v>Celda original</x:v>
      </x:c>
      <x:c r="E5" s="2"/>
      <x:c r="F5" s="2"/>
      <x:c r="G5" s="2"/>
      <x:c r="H5" s="2"/>
      <x:c r="I5" s="2"/>
      <x:c r="J5" s="2"/>
      <x:c r="K5" s="2"/>
    </x:row>
    <x:row r="6" ht="22" customHeight="1">
      <x:c r="A6" s="2" t="str">
        <x:v>L</x:v>
      </x:c>
      <x:c r="B6" s="32" t="n">
        <x:v>4</x:v>
      </x:c>
      <x:c r="C6" s="2" t="str">
        <x:v>m</x:v>
      </x:c>
      <x:c r="D6" s="2" t="str">
        <x:v>B4</x:v>
      </x:c>
      <x:c r="E6" s="2"/>
      <x:c r="F6" s="2"/>
      <x:c r="G6" s="2"/>
      <x:c r="H6" s="2"/>
      <x:c r="I6" s="2"/>
      <x:c r="J6" s="2"/>
      <x:c r="K6" s="2"/>
    </x:row>
    <x:row r="7" ht="22" customHeight="1">
      <x:c r="A7" s="2" t="str">
        <x:v>b</x:v>
      </x:c>
      <x:c r="B7" s="32" t="n">
        <x:v>0.2</x:v>
      </x:c>
      <x:c r="C7" s="2" t="str">
        <x:v>m</x:v>
      </x:c>
      <x:c r="D7" s="2" t="str">
        <x:v>B5</x:v>
      </x:c>
      <x:c r="E7" s="2"/>
      <x:c r="F7" s="2"/>
      <x:c r="G7" s="2"/>
      <x:c r="H7" s="2"/>
      <x:c r="I7" s="2"/>
      <x:c r="J7" s="2"/>
      <x:c r="K7" s="2"/>
    </x:row>
    <x:row r="8" ht="22" customHeight="1">
      <x:c r="A8" s="2" t="str">
        <x:v>h</x:v>
      </x:c>
      <x:c r="B8" s="32" t="n">
        <x:v>0.4</x:v>
      </x:c>
      <x:c r="C8" s="2" t="str">
        <x:v>m</x:v>
      </x:c>
      <x:c r="D8" s="2" t="str">
        <x:v>B6</x:v>
      </x:c>
      <x:c r="E8" s="2"/>
      <x:c r="F8" s="2"/>
      <x:c r="G8" s="2"/>
      <x:c r="H8" s="2"/>
      <x:c r="I8" s="2"/>
      <x:c r="J8" s="2"/>
      <x:c r="K8" s="2"/>
    </x:row>
    <x:row r="9" ht="22" customHeight="1">
      <x:c r="A9" s="2" t="str">
        <x:v>E</x:v>
      </x:c>
      <x:c r="B9" s="32" t="n">
        <x:v>25</x:v>
      </x:c>
      <x:c r="C9" s="2" t="str">
        <x:v>GPa</x:v>
      </x:c>
      <x:c r="D9" s="2" t="str">
        <x:v>B7</x:v>
      </x:c>
      <x:c r="E9" s="2"/>
      <x:c r="F9" s="2"/>
      <x:c r="G9" s="2"/>
      <x:c r="H9" s="2"/>
      <x:c r="I9" s="2"/>
      <x:c r="J9" s="2"/>
      <x:c r="K9" s="2"/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2" customHeight="1">
      <x:c r="A11" s="8" t="str">
        <x:v>Celdas amarillas: copias editables. Registrar cada cambio en GitHub.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2" customHeight="1">
      <x:c r="A12" s="8" t="str">
        <x:v>Fuente: data/datos_viga.csv. Se preservan las nueve observaciones, sin ajustes.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44" customHeight="1">
      <x:c r="A13" s="12" t="str">
        <x:v>Fila CSV</x:v>
      </x:c>
      <x:c r="B13" s="12" t="str">
        <x:v>Carga (kN)</x:v>
      </x:c>
      <x:c r="C13" s="12" t="str">
        <x:v>Deflexión medida (mm)</x:v>
      </x:c>
      <x:c r="D13" s="2"/>
      <x:c r="E13" s="2"/>
      <x:c r="F13" s="2"/>
      <x:c r="G13" s="2"/>
      <x:c r="H13" s="2"/>
      <x:c r="I13" s="2"/>
      <x:c r="J13" s="2"/>
      <x:c r="K13" s="2"/>
    </x:row>
    <x:row r="14" ht="22" customHeight="1">
      <x:c r="A14" s="17" t="n">
        <x:v>2</x:v>
      </x:c>
      <x:c r="B14" s="33" t="n">
        <x:v>0</x:v>
      </x:c>
      <x:c r="C14" s="32" t="n">
        <x:v>0</x:v>
      </x:c>
      <x:c r="D14" s="2"/>
      <x:c r="E14" s="2"/>
      <x:c r="F14" s="2"/>
      <x:c r="G14" s="2"/>
      <x:c r="H14" s="2"/>
      <x:c r="I14" s="2"/>
      <x:c r="J14" s="2"/>
      <x:c r="K14" s="2"/>
    </x:row>
    <x:row r="15" ht="22" customHeight="1">
      <x:c r="A15" s="17" t="n">
        <x:v>3</x:v>
      </x:c>
      <x:c r="B15" s="33" t="n">
        <x:v>5</x:v>
      </x:c>
      <x:c r="C15" s="32" t="n">
        <x:v>0.26</x:v>
      </x:c>
      <x:c r="D15" s="2"/>
      <x:c r="E15" s="2"/>
      <x:c r="F15" s="2"/>
      <x:c r="G15" s="2"/>
      <x:c r="H15" s="2"/>
      <x:c r="I15" s="2"/>
      <x:c r="J15" s="2"/>
      <x:c r="K15" s="2"/>
    </x:row>
    <x:row r="16" ht="22" customHeight="1">
      <x:c r="A16" s="17" t="n">
        <x:v>4</x:v>
      </x:c>
      <x:c r="B16" s="33" t="n">
        <x:v>10</x:v>
      </x:c>
      <x:c r="C16" s="32" t="n">
        <x:v>0.5</x:v>
      </x:c>
      <x:c r="D16" s="2"/>
      <x:c r="E16" s="2"/>
      <x:c r="F16" s="2"/>
      <x:c r="G16" s="2"/>
      <x:c r="H16" s="2"/>
      <x:c r="I16" s="2"/>
      <x:c r="J16" s="2"/>
      <x:c r="K16" s="2"/>
    </x:row>
    <x:row r="17" ht="22" customHeight="1">
      <x:c r="A17" s="17" t="n">
        <x:v>5</x:v>
      </x:c>
      <x:c r="B17" s="33" t="n">
        <x:v>15</x:v>
      </x:c>
      <x:c r="C17" s="32" t="n">
        <x:v>0.76</x:v>
      </x:c>
      <x:c r="D17" s="2"/>
      <x:c r="E17" s="2"/>
      <x:c r="F17" s="2"/>
      <x:c r="G17" s="2"/>
      <x:c r="H17" s="2"/>
      <x:c r="I17" s="2"/>
      <x:c r="J17" s="2"/>
      <x:c r="K17" s="2"/>
    </x:row>
    <x:row r="18" ht="22" customHeight="1">
      <x:c r="A18" s="17" t="n">
        <x:v>6</x:v>
      </x:c>
      <x:c r="B18" s="33" t="n">
        <x:v>20</x:v>
      </x:c>
      <x:c r="C18" s="32" t="n">
        <x:v>1.01</x:v>
      </x:c>
      <x:c r="D18" s="2"/>
      <x:c r="E18" s="2"/>
      <x:c r="F18" s="2"/>
      <x:c r="G18" s="2"/>
      <x:c r="H18" s="2"/>
      <x:c r="I18" s="2"/>
      <x:c r="J18" s="2"/>
      <x:c r="K18" s="2"/>
    </x:row>
    <x:row r="19" ht="22" customHeight="1">
      <x:c r="A19" s="17" t="n">
        <x:v>7</x:v>
      </x:c>
      <x:c r="B19" s="33" t="n">
        <x:v>25</x:v>
      </x:c>
      <x:c r="C19" s="32" t="n">
        <x:v>1.28</x:v>
      </x:c>
      <x:c r="D19" s="2"/>
      <x:c r="E19" s="2"/>
      <x:c r="F19" s="2"/>
      <x:c r="G19" s="2"/>
      <x:c r="H19" s="2"/>
      <x:c r="I19" s="2"/>
      <x:c r="J19" s="2"/>
      <x:c r="K19" s="2"/>
    </x:row>
    <x:row r="20" ht="22" customHeight="1">
      <x:c r="A20" s="17" t="n">
        <x:v>8</x:v>
      </x:c>
      <x:c r="B20" s="33" t="n">
        <x:v>30</x:v>
      </x:c>
      <x:c r="C20" s="32" t="n">
        <x:v>1.54</x:v>
      </x:c>
      <x:c r="D20" s="2"/>
      <x:c r="E20" s="2"/>
      <x:c r="F20" s="2"/>
      <x:c r="G20" s="2"/>
      <x:c r="H20" s="2"/>
      <x:c r="I20" s="2"/>
      <x:c r="J20" s="2"/>
      <x:c r="K20" s="2"/>
    </x:row>
    <x:row r="21" ht="22" customHeight="1">
      <x:c r="A21" s="17" t="n">
        <x:v>9</x:v>
      </x:c>
      <x:c r="B21" s="33" t="n">
        <x:v>35</x:v>
      </x:c>
      <x:c r="C21" s="32" t="n">
        <x:v>1.77</x:v>
      </x:c>
      <x:c r="D21" s="2"/>
      <x:c r="E21" s="2"/>
      <x:c r="F21" s="2"/>
      <x:c r="G21" s="2"/>
      <x:c r="H21" s="2"/>
      <x:c r="I21" s="2"/>
      <x:c r="J21" s="2"/>
      <x:c r="K21" s="2"/>
    </x:row>
    <x:row r="22" ht="22" customHeight="1">
      <x:c r="A22" s="17" t="n">
        <x:v>10</x:v>
      </x:c>
      <x:c r="B22" s="33" t="n">
        <x:v>40</x:v>
      </x:c>
      <x:c r="C22" s="32" t="n">
        <x:v>2.05</x:v>
      </x:c>
      <x:c r="D22" s="2"/>
      <x:c r="E22" s="2"/>
      <x:c r="F22" s="2"/>
      <x:c r="G22" s="2"/>
      <x:c r="H22" s="2"/>
      <x:c r="I22" s="2"/>
      <x:c r="J22" s="2"/>
      <x:c r="K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22" customHeight="1">
      <x:c r="A24" s="8" t="str">
        <x:v>CSV: separador coma y punto decimal. Las cargas son positivas y la flecha se expresa como magnitud.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22" customHeight="1">
      <x:c r="A26" s="8" t="str">
        <x:v>Procedencia: material docente del Hito 1. Los valores de deflexión son sintéticos.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</x:sheetData>
  <x:pageMargins left="0.7" right="0.7" top="0.75" bottom="0.75" header="0.3" footer="0.3"/>
</x:worksheet>
</file>