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uariio\Desktop\analysis\"/>
    </mc:Choice>
  </mc:AlternateContent>
  <xr:revisionPtr revIDLastSave="0" documentId="13_ncr:1_{F39BAFE2-DD4D-438D-80F6-982EEE443FDA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Analisis" sheetId="1" r:id="rId1"/>
    <sheet name="Dat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" i="1" l="1"/>
  <c r="B48" i="1"/>
  <c r="B47" i="1"/>
  <c r="B46" i="1"/>
  <c r="B49" i="1" s="1"/>
  <c r="B45" i="1"/>
  <c r="D32" i="1"/>
  <c r="B32" i="1"/>
  <c r="J32" i="1" s="1"/>
  <c r="A32" i="1"/>
  <c r="D31" i="1"/>
  <c r="B31" i="1"/>
  <c r="J31" i="1" s="1"/>
  <c r="A31" i="1"/>
  <c r="D30" i="1"/>
  <c r="B30" i="1"/>
  <c r="A30" i="1"/>
  <c r="D29" i="1"/>
  <c r="B29" i="1"/>
  <c r="A29" i="1"/>
  <c r="D28" i="1"/>
  <c r="D5" i="1" s="1"/>
  <c r="B28" i="1"/>
  <c r="A28" i="1"/>
  <c r="D27" i="1"/>
  <c r="B27" i="1"/>
  <c r="J27" i="1" s="1"/>
  <c r="A27" i="1"/>
  <c r="D26" i="1"/>
  <c r="B26" i="1"/>
  <c r="J26" i="1" s="1"/>
  <c r="A26" i="1"/>
  <c r="D25" i="1"/>
  <c r="B25" i="1"/>
  <c r="A25" i="1"/>
  <c r="K24" i="1"/>
  <c r="I24" i="1"/>
  <c r="D24" i="1"/>
  <c r="C24" i="1"/>
  <c r="B24" i="1"/>
  <c r="J24" i="1" s="1"/>
  <c r="A24" i="1"/>
  <c r="C15" i="1"/>
  <c r="B15" i="1"/>
  <c r="D15" i="1" s="1"/>
  <c r="A15" i="1"/>
  <c r="C14" i="1"/>
  <c r="B14" i="1"/>
  <c r="D14" i="1" s="1"/>
  <c r="A14" i="1"/>
  <c r="C13" i="1"/>
  <c r="B13" i="1"/>
  <c r="D13" i="1" s="1"/>
  <c r="A13" i="1"/>
  <c r="C12" i="1"/>
  <c r="B12" i="1"/>
  <c r="D12" i="1" s="1"/>
  <c r="A12" i="1"/>
  <c r="C27" i="1" l="1"/>
  <c r="E27" i="1" s="1"/>
  <c r="F27" i="1" s="1"/>
  <c r="D17" i="1"/>
  <c r="D18" i="1" s="1"/>
  <c r="E42" i="1" s="1"/>
  <c r="C32" i="1"/>
  <c r="C31" i="1"/>
  <c r="E31" i="1" s="1"/>
  <c r="F31" i="1" s="1"/>
  <c r="K31" i="1" s="1"/>
  <c r="E32" i="1"/>
  <c r="F32" i="1" s="1"/>
  <c r="K32" i="1" s="1"/>
  <c r="E24" i="1"/>
  <c r="F24" i="1" s="1"/>
  <c r="K28" i="1"/>
  <c r="B51" i="1"/>
  <c r="C26" i="1"/>
  <c r="E26" i="1" s="1"/>
  <c r="F26" i="1" s="1"/>
  <c r="G26" i="1" s="1"/>
  <c r="H26" i="1" s="1"/>
  <c r="I26" i="1" s="1"/>
  <c r="J29" i="1"/>
  <c r="D4" i="1"/>
  <c r="C29" i="1"/>
  <c r="J30" i="1"/>
  <c r="J25" i="1"/>
  <c r="C30" i="1"/>
  <c r="E30" i="1" s="1"/>
  <c r="F30" i="1" s="1"/>
  <c r="G30" i="1" s="1"/>
  <c r="H30" i="1" s="1"/>
  <c r="I30" i="1" s="1"/>
  <c r="C25" i="1"/>
  <c r="E25" i="1" s="1"/>
  <c r="F25" i="1" s="1"/>
  <c r="K25" i="1" s="1"/>
  <c r="J28" i="1"/>
  <c r="E40" i="1" s="1"/>
  <c r="C28" i="1"/>
  <c r="E28" i="1" s="1"/>
  <c r="F28" i="1" s="1"/>
  <c r="G28" i="1" s="1"/>
  <c r="H28" i="1" s="1"/>
  <c r="I28" i="1" s="1"/>
  <c r="G32" i="1" l="1"/>
  <c r="H32" i="1" s="1"/>
  <c r="I32" i="1" s="1"/>
  <c r="E41" i="1"/>
  <c r="E39" i="1"/>
  <c r="K30" i="1"/>
  <c r="G25" i="1"/>
  <c r="H25" i="1" s="1"/>
  <c r="I25" i="1" s="1"/>
  <c r="E29" i="1"/>
  <c r="F29" i="1" s="1"/>
  <c r="B52" i="1"/>
  <c r="K27" i="1"/>
  <c r="G27" i="1"/>
  <c r="H27" i="1" s="1"/>
  <c r="I27" i="1" s="1"/>
  <c r="K26" i="1"/>
  <c r="G31" i="1"/>
  <c r="H31" i="1" s="1"/>
  <c r="I31" i="1" s="1"/>
  <c r="G24" i="1"/>
  <c r="H24" i="1" s="1"/>
  <c r="K29" i="1" l="1"/>
  <c r="G29" i="1"/>
  <c r="H29" i="1" s="1"/>
  <c r="I29" i="1" s="1"/>
  <c r="D7" i="1" s="1"/>
  <c r="D6" i="1"/>
  <c r="D8" i="1" l="1"/>
</calcChain>
</file>

<file path=xl/sharedStrings.xml><?xml version="1.0" encoding="utf-8"?>
<sst xmlns="http://schemas.openxmlformats.org/spreadsheetml/2006/main" count="90" uniqueCount="67">
  <si>
    <t>Viga simplemente apoyada: carga y deflexión</t>
  </si>
  <si>
    <t>Carga máxima</t>
  </si>
  <si>
    <t>kN</t>
  </si>
  <si>
    <t>Deflexión medida máxima</t>
  </si>
  <si>
    <t>mm</t>
  </si>
  <si>
    <t>Deflexión teórica máxima</t>
  </si>
  <si>
    <t>Diferencia relativa máxima</t>
  </si>
  <si>
    <t>Diferencia relativa media</t>
  </si>
  <si>
    <t>La media relativa considera ocho cargas mayores que cero.</t>
  </si>
  <si>
    <t>Parámetros y conversiones</t>
  </si>
  <si>
    <t>Variable</t>
  </si>
  <si>
    <t>Original</t>
  </si>
  <si>
    <t>Unidad</t>
  </si>
  <si>
    <t>Convertido</t>
  </si>
  <si>
    <t>m</t>
  </si>
  <si>
    <t>N/m²</t>
  </si>
  <si>
    <t>I = b h³/12</t>
  </si>
  <si>
    <t>m⁴</t>
  </si>
  <si>
    <t>δteo/P</t>
  </si>
  <si>
    <t>mm/kN</t>
  </si>
  <si>
    <t>Conversiones: 1 kN = 1000 N; 1 GPa = 10⁹ N/m²; 1 m = 1000 mm.</t>
  </si>
  <si>
    <t>Comparación por carga</t>
  </si>
  <si>
    <t>Fila CSV</t>
  </si>
  <si>
    <t>P (kN)</t>
  </si>
  <si>
    <t>P (N)</t>
  </si>
  <si>
    <t>δ medida (mm)</t>
  </si>
  <si>
    <t>δ teórica (m)</t>
  </si>
  <si>
    <t>δ teórica (mm)</t>
  </si>
  <si>
    <t>Δ (mm)</t>
  </si>
  <si>
    <t>|Δ| (mm)</t>
  </si>
  <si>
    <t>Diferencia relativa</t>
  </si>
  <si>
    <t>δmed/P (mm/kN)</t>
  </si>
  <si>
    <t>δteo/P (mm/kN)</t>
  </si>
  <si>
    <t>Δ = δmed − δteo. Diferencia relativa = |Δ|/|δteo|, expresada como porcentaje.</t>
  </si>
  <si>
    <t>n.a.: no aplica para P = 0, pues el denominador es cero. La fila se conserva en la tabla y en la figura.</t>
  </si>
  <si>
    <t>Verificaciones adicionales</t>
  </si>
  <si>
    <t>δmed/P mínimo</t>
  </si>
  <si>
    <t>δmed/P máximo</t>
  </si>
  <si>
    <t>δmed/P promedio</t>
  </si>
  <si>
    <t>Comprobación independiente en N y mm, última carga</t>
  </si>
  <si>
    <t>L</t>
  </si>
  <si>
    <t>b</t>
  </si>
  <si>
    <t>h</t>
  </si>
  <si>
    <t>E</t>
  </si>
  <si>
    <t>N/mm²</t>
  </si>
  <si>
    <t>I</t>
  </si>
  <si>
    <t>mm⁴</t>
  </si>
  <si>
    <t>P</t>
  </si>
  <si>
    <t>N</t>
  </si>
  <si>
    <t>δ (mm)</t>
  </si>
  <si>
    <t>|δ − F32|</t>
  </si>
  <si>
    <t>Copias de los datos originales</t>
  </si>
  <si>
    <t>Fuente: data/parametros_viga.xlsx, hoja Parametros, filas 4 a 7.</t>
  </si>
  <si>
    <t>Parámetro</t>
  </si>
  <si>
    <t>Valor</t>
  </si>
  <si>
    <t>Celda original</t>
  </si>
  <si>
    <t>B4</t>
  </si>
  <si>
    <t>B5</t>
  </si>
  <si>
    <t>B6</t>
  </si>
  <si>
    <t>GPa</t>
  </si>
  <si>
    <t>B7</t>
  </si>
  <si>
    <t>Celdas amarillas: copias editables. Registrar cada cambio en GitHub.</t>
  </si>
  <si>
    <t>Fuente: data/datos_viga.csv. Se preservan las nueve observaciones, sin ajustes.</t>
  </si>
  <si>
    <t>Carga (kN)</t>
  </si>
  <si>
    <t>Deflexión medida (mm)</t>
  </si>
  <si>
    <t>CSV: separador coma y punto decimal. Las cargas son positivas y la flecha se expresa como magnitud.</t>
  </si>
  <si>
    <t>Procedencia: material docente del Hito 1. Los valores de deflexión son sintéticos.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</si>
</sst>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E+00"/>
    <numFmt numFmtId="165" formatCode="0.0000000000"/>
    <numFmt numFmtId="166" formatCode="0.00000"/>
    <numFmt numFmtId="167" formatCode="0.000000"/>
    <numFmt numFmtId="168" formatCode="0.00000E+00"/>
  </numFmts>
  <fonts count="8">
    <font>
      <sz val="11"/>
      <name val="Carlito"/>
    </font>
    <font>
      <sz val="11"/>
      <color rgb="FF202C3A"/>
      <name val="Arial"/>
    </font>
    <font>
      <b/>
      <sz val="16"/>
      <color rgb="FF203F64"/>
      <name val="Arial"/>
    </font>
    <font>
      <b/>
      <sz val="12"/>
      <color rgb="FF203F64"/>
      <name val="Arial"/>
    </font>
    <font>
      <sz val="10"/>
      <color rgb="FF55616E"/>
      <name val="Arial"/>
    </font>
    <font>
      <b/>
      <sz val="11"/>
      <color rgb="FFFFFFFF"/>
      <name val="Arial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03F64"/>
      </patternFill>
    </fill>
    <fill>
      <patternFill patternType="solid">
        <fgColor rgb="FFF0F4F8"/>
      </patternFill>
    </fill>
    <fill>
      <patternFill patternType="solid">
        <fgColor rgb="FFFFF0CE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203F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2" fontId="3" fillId="0" borderId="0" xfId="0" applyNumberFormat="1" applyFont="1" applyFill="1" applyBorder="1" applyAlignment="1">
      <alignment vertical="center"/>
    </xf>
    <xf numFmtId="10" fontId="3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2" fontId="1" fillId="0" borderId="0" xfId="0" applyNumberFormat="1" applyFont="1" applyFill="1" applyBorder="1" applyAlignment="1">
      <alignment vertical="center"/>
    </xf>
    <xf numFmtId="164" fontId="1" fillId="0" borderId="0" xfId="0" applyNumberFormat="1" applyFont="1" applyFill="1" applyBorder="1" applyAlignment="1">
      <alignment vertical="center"/>
    </xf>
    <xf numFmtId="165" fontId="1" fillId="0" borderId="0" xfId="0" applyNumberFormat="1" applyFont="1" applyFill="1" applyBorder="1" applyAlignment="1">
      <alignment vertical="center"/>
    </xf>
    <xf numFmtId="166" fontId="1" fillId="0" borderId="0" xfId="0" applyNumberFormat="1" applyFont="1" applyFill="1" applyBorder="1" applyAlignment="1">
      <alignment vertical="center"/>
    </xf>
    <xf numFmtId="1" fontId="1" fillId="0" borderId="0" xfId="0" applyNumberFormat="1" applyFont="1" applyFill="1" applyBorder="1" applyAlignment="1">
      <alignment vertical="center"/>
    </xf>
    <xf numFmtId="1" fontId="1" fillId="0" borderId="0" xfId="0" applyNumberFormat="1" applyFont="1" applyFill="1" applyBorder="1" applyAlignment="1">
      <alignment horizontal="right" vertical="center"/>
    </xf>
    <xf numFmtId="2" fontId="1" fillId="0" borderId="0" xfId="0" applyNumberFormat="1" applyFont="1" applyFill="1" applyBorder="1" applyAlignment="1">
      <alignment horizontal="right" vertical="center"/>
    </xf>
    <xf numFmtId="167" fontId="1" fillId="0" borderId="0" xfId="0" applyNumberFormat="1" applyFont="1" applyFill="1" applyBorder="1" applyAlignment="1">
      <alignment horizontal="right" vertical="center"/>
    </xf>
    <xf numFmtId="10" fontId="1" fillId="0" borderId="0" xfId="0" applyNumberFormat="1" applyFont="1" applyFill="1" applyBorder="1" applyAlignment="1">
      <alignment horizontal="right" vertical="center"/>
    </xf>
    <xf numFmtId="166" fontId="1" fillId="0" borderId="0" xfId="0" applyNumberFormat="1" applyFont="1" applyFill="1" applyBorder="1" applyAlignment="1">
      <alignment horizontal="right" vertical="center"/>
    </xf>
    <xf numFmtId="1" fontId="1" fillId="3" borderId="0" xfId="0" applyNumberFormat="1" applyFont="1" applyFill="1" applyBorder="1" applyAlignment="1">
      <alignment horizontal="right" vertical="center"/>
    </xf>
    <xf numFmtId="2" fontId="1" fillId="3" borderId="0" xfId="0" applyNumberFormat="1" applyFont="1" applyFill="1" applyBorder="1" applyAlignment="1">
      <alignment horizontal="right" vertical="center"/>
    </xf>
    <xf numFmtId="167" fontId="1" fillId="3" borderId="0" xfId="0" applyNumberFormat="1" applyFont="1" applyFill="1" applyBorder="1" applyAlignment="1">
      <alignment horizontal="right" vertical="center"/>
    </xf>
    <xf numFmtId="10" fontId="1" fillId="3" borderId="0" xfId="0" applyNumberFormat="1" applyFont="1" applyFill="1" applyBorder="1" applyAlignment="1">
      <alignment horizontal="right" vertical="center"/>
    </xf>
    <xf numFmtId="166" fontId="1" fillId="3" borderId="0" xfId="0" applyNumberFormat="1" applyFont="1" applyFill="1" applyBorder="1" applyAlignment="1">
      <alignment horizontal="right" vertical="center"/>
    </xf>
    <xf numFmtId="2" fontId="1" fillId="4" borderId="0" xfId="0" applyNumberFormat="1" applyFont="1" applyFill="1" applyBorder="1" applyAlignment="1">
      <alignment vertical="center"/>
    </xf>
    <xf numFmtId="1" fontId="1" fillId="4" borderId="0" xfId="0" applyNumberFormat="1" applyFont="1" applyFill="1" applyBorder="1" applyAlignment="1">
      <alignment vertical="center"/>
    </xf>
    <xf numFmtId="0" fontId="3" fillId="5" borderId="0" xfId="0" applyNumberFormat="1" applyFont="1" applyFill="1" applyBorder="1" applyAlignment="1">
      <alignment vertical="center"/>
    </xf>
    <xf numFmtId="0" fontId="1" fillId="5" borderId="0" xfId="0" applyNumberFormat="1" applyFont="1" applyFill="1" applyBorder="1" applyAlignment="1">
      <alignment vertical="center"/>
    </xf>
    <xf numFmtId="166" fontId="1" fillId="5" borderId="0" xfId="0" applyNumberFormat="1" applyFont="1" applyFill="1" applyBorder="1" applyAlignment="1">
      <alignment vertical="center"/>
    </xf>
    <xf numFmtId="1" fontId="1" fillId="5" borderId="0" xfId="0" applyNumberFormat="1" applyFont="1" applyFill="1" applyBorder="1" applyAlignment="1">
      <alignment vertical="center"/>
    </xf>
    <xf numFmtId="168" fontId="1" fillId="5" borderId="0" xfId="0" applyNumberFormat="1" applyFont="1" applyFill="1" applyBorder="1" applyAlignment="1">
      <alignment vertical="center"/>
    </xf>
    <xf numFmtId="167" fontId="1" fillId="5" borderId="0" xfId="0" applyNumberFormat="1" applyFont="1" applyFill="1" applyBorder="1" applyAlignment="1">
      <alignment vertical="center"/>
    </xf>
    <xf numFmtId="0" fontId="6" fillId="0" borderId="0" xfId="0" applyNumberFormat="1" applyFont="1" applyFill="1" applyBorder="1" applyAlignment="1">
      <alignment vertical="center"/>
    </xf>
    <xf numFmtId="0" fontId="7" fillId="0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L" sz="1125">
                <a:latin typeface="Arial"/>
                <a:ea typeface="Arial"/>
                <a:cs typeface="Arial"/>
              </a:rPr>
              <a:t>Carga y deflexión central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δ medida (mm)</c:v>
          </c:tx>
          <c:spPr>
            <a:ln w="19050">
              <a:solidFill>
                <a:srgbClr val="C45B27"/>
              </a:solidFill>
              <a:prstDash val="solid"/>
            </a:ln>
          </c:spPr>
          <c:xVal>
            <c:numRef>
              <c:f>Analisis!$B$24:$B$32</c:f>
              <c:numCache>
                <c:formatCode>0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</c:numCache>
            </c:numRef>
          </c:xVal>
          <c:yVal>
            <c:numRef>
              <c:f>Analisis!$D$24:$D$32</c:f>
              <c:numCache>
                <c:formatCode>0.00</c:formatCode>
                <c:ptCount val="9"/>
                <c:pt idx="0">
                  <c:v>0</c:v>
                </c:pt>
                <c:pt idx="1">
                  <c:v>0.26</c:v>
                </c:pt>
                <c:pt idx="2">
                  <c:v>0.5</c:v>
                </c:pt>
                <c:pt idx="3">
                  <c:v>0.76</c:v>
                </c:pt>
                <c:pt idx="4">
                  <c:v>1.01</c:v>
                </c:pt>
                <c:pt idx="5">
                  <c:v>1.28</c:v>
                </c:pt>
                <c:pt idx="6">
                  <c:v>1.54</c:v>
                </c:pt>
                <c:pt idx="7">
                  <c:v>1.77</c:v>
                </c:pt>
                <c:pt idx="8">
                  <c:v>2.0499999999999998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BE-4BD8-ABEE-8EFB08E52936}"/>
            </c:ext>
          </c:extLst>
        </c:ser>
        <c:ser>
          <c:idx val="1"/>
          <c:order val="1"/>
          <c:tx>
            <c:v>δ teórica (mm)</c:v>
          </c:tx>
          <c:spPr>
            <a:ln w="19050">
              <a:solidFill>
                <a:srgbClr val="087E8B"/>
              </a:solidFill>
              <a:prstDash val="dash"/>
            </a:ln>
          </c:spPr>
          <c:xVal>
            <c:numRef>
              <c:f>Analisis!$B$24:$B$32</c:f>
              <c:numCache>
                <c:formatCode>0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</c:numCache>
            </c:numRef>
          </c:xVal>
          <c:yVal>
            <c:numRef>
              <c:f>Analisis!$F$24:$F$32</c:f>
              <c:numCache>
                <c:formatCode>0.00</c:formatCode>
                <c:ptCount val="9"/>
                <c:pt idx="0">
                  <c:v>0</c:v>
                </c:pt>
                <c:pt idx="1">
                  <c:v>0.24999999999999994</c:v>
                </c:pt>
                <c:pt idx="2">
                  <c:v>0.49999999999999989</c:v>
                </c:pt>
                <c:pt idx="3">
                  <c:v>0.74999999999999989</c:v>
                </c:pt>
                <c:pt idx="4">
                  <c:v>0.99999999999999978</c:v>
                </c:pt>
                <c:pt idx="5">
                  <c:v>1.2499999999999998</c:v>
                </c:pt>
                <c:pt idx="6">
                  <c:v>1.4999999999999998</c:v>
                </c:pt>
                <c:pt idx="7">
                  <c:v>1.7499999999999996</c:v>
                </c:pt>
                <c:pt idx="8">
                  <c:v>1.9999999999999996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BE-4BD8-ABEE-8EFB08E52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s-CL"/>
                  <a:t>Deflexión </a:t>
                </a:r>
                <a:r>
                  <a:rPr lang="el-GR"/>
                  <a:t>δ (</a:t>
                </a:r>
                <a:r>
                  <a:rPr lang="es-CL"/>
                  <a:t>mm)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s-CL"/>
          </a:p>
        </c:txPr>
        <c:crossAx val="48650112"/>
        <c:crosses val="autoZero"/>
        <c:crossBetween val="midCat"/>
      </c:valAx>
      <c:val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s-CL"/>
                  <a:t>Carga P (kN)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s-CL"/>
          </a:p>
        </c:txPr>
        <c:crossAx val="48672768"/>
        <c:crosses val="autoZero"/>
        <c:crossBetween val="midCat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es-CL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11</xdr:col>
      <xdr:colOff>0</xdr:colOff>
      <xdr:row>19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9"/>
  <sheetViews>
    <sheetView showGridLines="0" tabSelected="1" topLeftCell="A36" workbookViewId="0">
      <selection activeCell="E22" sqref="E22"/>
    </sheetView>
  </sheetViews>
  <sheetFormatPr baseColWidth="10" defaultColWidth="9" defaultRowHeight="14.25"/>
  <cols>
    <col min="1" max="1" width="11" customWidth="1"/>
    <col min="2" max="2" width="12" customWidth="1"/>
    <col min="3" max="4" width="15" customWidth="1"/>
    <col min="5" max="5" width="17" customWidth="1"/>
    <col min="6" max="6" width="16" customWidth="1"/>
    <col min="7" max="8" width="15" customWidth="1"/>
    <col min="9" max="9" width="17" customWidth="1"/>
    <col min="10" max="11" width="19" customWidth="1"/>
  </cols>
  <sheetData>
    <row r="1" spans="1:11" ht="21.9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1.95" customHeight="1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1.9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ht="21.95" customHeight="1">
      <c r="A4" s="1" t="s">
        <v>1</v>
      </c>
      <c r="B4" s="1"/>
      <c r="C4" s="1"/>
      <c r="D4" s="5">
        <f>MAX(B24:B32)</f>
        <v>40</v>
      </c>
      <c r="E4" s="1" t="s">
        <v>2</v>
      </c>
      <c r="F4" s="1"/>
      <c r="G4" s="1"/>
      <c r="H4" s="1"/>
      <c r="I4" s="1"/>
      <c r="J4" s="1"/>
      <c r="K4" s="1"/>
    </row>
    <row r="5" spans="1:11" ht="21.95" customHeight="1">
      <c r="A5" s="1" t="s">
        <v>3</v>
      </c>
      <c r="B5" s="1"/>
      <c r="C5" s="1"/>
      <c r="D5" s="5">
        <f>MAX(D24:D32)</f>
        <v>2.0499999999999998</v>
      </c>
      <c r="E5" s="1" t="s">
        <v>4</v>
      </c>
      <c r="F5" s="1"/>
      <c r="G5" s="1"/>
      <c r="H5" s="1"/>
      <c r="I5" s="1"/>
      <c r="J5" s="1"/>
      <c r="K5" s="1"/>
    </row>
    <row r="6" spans="1:11" ht="21.95" customHeight="1">
      <c r="A6" s="1" t="s">
        <v>5</v>
      </c>
      <c r="B6" s="1"/>
      <c r="C6" s="1"/>
      <c r="D6" s="5">
        <f>MAX(F24:F32)</f>
        <v>1.9999999999999996</v>
      </c>
      <c r="E6" s="1" t="s">
        <v>4</v>
      </c>
      <c r="F6" s="1"/>
      <c r="G6" s="1"/>
      <c r="H6" s="1"/>
      <c r="I6" s="1"/>
      <c r="J6" s="1"/>
      <c r="K6" s="1"/>
    </row>
    <row r="7" spans="1:11" ht="21.95" customHeight="1">
      <c r="A7" s="1" t="s">
        <v>6</v>
      </c>
      <c r="B7" s="1"/>
      <c r="C7" s="1"/>
      <c r="D7" s="6">
        <f>MAX(I24:I32)</f>
        <v>4.0000000000000265E-2</v>
      </c>
      <c r="E7" s="1"/>
      <c r="F7" s="1"/>
      <c r="G7" s="1"/>
      <c r="H7" s="1"/>
      <c r="I7" s="1"/>
      <c r="J7" s="1"/>
      <c r="K7" s="1"/>
    </row>
    <row r="8" spans="1:11" ht="21.95" customHeight="1">
      <c r="A8" s="1" t="s">
        <v>7</v>
      </c>
      <c r="B8" s="1"/>
      <c r="C8" s="1"/>
      <c r="D8" s="6">
        <f>AVERAGE(I24:I32)</f>
        <v>1.8803571428571607E-2</v>
      </c>
      <c r="E8" s="1"/>
      <c r="F8" s="1"/>
      <c r="G8" s="1"/>
      <c r="H8" s="1"/>
      <c r="I8" s="1"/>
      <c r="J8" s="1"/>
      <c r="K8" s="1"/>
    </row>
    <row r="9" spans="1:11" ht="21.95" customHeight="1">
      <c r="A9" s="7" t="s">
        <v>8</v>
      </c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ht="21.95" customHeight="1">
      <c r="A10" s="4" t="s">
        <v>9</v>
      </c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44.1" customHeight="1">
      <c r="A11" s="8" t="s">
        <v>10</v>
      </c>
      <c r="B11" s="8" t="s">
        <v>11</v>
      </c>
      <c r="C11" s="8" t="s">
        <v>12</v>
      </c>
      <c r="D11" s="8" t="s">
        <v>13</v>
      </c>
      <c r="E11" s="8" t="s">
        <v>12</v>
      </c>
      <c r="F11" s="1"/>
      <c r="G11" s="1"/>
      <c r="H11" s="1"/>
      <c r="I11" s="1"/>
      <c r="J11" s="1"/>
      <c r="K11" s="1"/>
    </row>
    <row r="12" spans="1:11" ht="21.95" customHeight="1">
      <c r="A12" s="1" t="str">
        <f>Datos!A6</f>
        <v>L</v>
      </c>
      <c r="B12" s="9">
        <f>Datos!B6</f>
        <v>4</v>
      </c>
      <c r="C12" s="1" t="str">
        <f>Datos!C6</f>
        <v>m</v>
      </c>
      <c r="D12" s="9">
        <f>B12</f>
        <v>4</v>
      </c>
      <c r="E12" s="1" t="s">
        <v>14</v>
      </c>
      <c r="F12" s="1"/>
      <c r="G12" s="1"/>
      <c r="H12" s="1"/>
      <c r="I12" s="1"/>
      <c r="J12" s="1"/>
      <c r="K12" s="1"/>
    </row>
    <row r="13" spans="1:11" ht="21.95" customHeight="1">
      <c r="A13" s="1" t="str">
        <f>Datos!A7</f>
        <v>b</v>
      </c>
      <c r="B13" s="9">
        <f>Datos!B7</f>
        <v>0.2</v>
      </c>
      <c r="C13" s="1" t="str">
        <f>Datos!C7</f>
        <v>m</v>
      </c>
      <c r="D13" s="9">
        <f>B13</f>
        <v>0.2</v>
      </c>
      <c r="E13" s="1" t="s">
        <v>14</v>
      </c>
      <c r="F13" s="1"/>
      <c r="G13" s="1"/>
      <c r="H13" s="1"/>
      <c r="I13" s="1"/>
      <c r="J13" s="1"/>
      <c r="K13" s="1"/>
    </row>
    <row r="14" spans="1:11" ht="21.95" customHeight="1">
      <c r="A14" s="1" t="str">
        <f>Datos!A8</f>
        <v>h</v>
      </c>
      <c r="B14" s="9">
        <f>Datos!B8</f>
        <v>0.4</v>
      </c>
      <c r="C14" s="1" t="str">
        <f>Datos!C8</f>
        <v>m</v>
      </c>
      <c r="D14" s="9">
        <f>B14</f>
        <v>0.4</v>
      </c>
      <c r="E14" s="1" t="s">
        <v>14</v>
      </c>
      <c r="F14" s="1"/>
      <c r="G14" s="1"/>
      <c r="H14" s="1"/>
      <c r="I14" s="1"/>
      <c r="J14" s="1"/>
      <c r="K14" s="1"/>
    </row>
    <row r="15" spans="1:11" ht="21.95" customHeight="1">
      <c r="A15" s="1" t="str">
        <f>Datos!A9</f>
        <v>E</v>
      </c>
      <c r="B15" s="9">
        <f>Datos!B9</f>
        <v>25</v>
      </c>
      <c r="C15" s="1" t="str">
        <f>Datos!C9</f>
        <v>GPa</v>
      </c>
      <c r="D15" s="10">
        <f>B15*10^9</f>
        <v>25000000000</v>
      </c>
      <c r="E15" s="1" t="s">
        <v>15</v>
      </c>
      <c r="F15" s="1"/>
      <c r="G15" s="1"/>
      <c r="H15" s="1"/>
      <c r="I15" s="1"/>
      <c r="J15" s="1"/>
      <c r="K15" s="1"/>
    </row>
    <row r="16" spans="1:11" ht="21.9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ht="21.95" customHeight="1">
      <c r="A17" s="1" t="s">
        <v>16</v>
      </c>
      <c r="B17" s="1"/>
      <c r="C17" s="1"/>
      <c r="D17" s="11">
        <f>D13*D14^3/12</f>
        <v>1.0666666666666669E-3</v>
      </c>
      <c r="E17" s="1" t="s">
        <v>17</v>
      </c>
      <c r="F17" s="1"/>
      <c r="G17" s="1"/>
      <c r="H17" s="1"/>
      <c r="I17" s="1"/>
      <c r="J17" s="1"/>
      <c r="K17" s="1"/>
    </row>
    <row r="18" spans="1:11" ht="21.95" customHeight="1">
      <c r="A18" s="1" t="s">
        <v>18</v>
      </c>
      <c r="B18" s="1"/>
      <c r="C18" s="1"/>
      <c r="D18" s="12">
        <f>D12^3/(48*D15*D17)*10^6</f>
        <v>4.9999999999999989E-2</v>
      </c>
      <c r="E18" s="1" t="s">
        <v>19</v>
      </c>
      <c r="F18" s="1"/>
      <c r="G18" s="1"/>
      <c r="H18" s="1"/>
      <c r="I18" s="1"/>
      <c r="J18" s="1"/>
      <c r="K18" s="1"/>
    </row>
    <row r="19" spans="1:11" ht="21.9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ht="21.95" customHeight="1">
      <c r="A20" s="7" t="s">
        <v>20</v>
      </c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21.9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21.95" customHeight="1">
      <c r="A22" s="4" t="s">
        <v>21</v>
      </c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44.1" customHeight="1">
      <c r="A23" s="8" t="s">
        <v>22</v>
      </c>
      <c r="B23" s="8" t="s">
        <v>23</v>
      </c>
      <c r="C23" s="8" t="s">
        <v>24</v>
      </c>
      <c r="D23" s="8" t="s">
        <v>25</v>
      </c>
      <c r="E23" s="8" t="s">
        <v>26</v>
      </c>
      <c r="F23" s="8" t="s">
        <v>27</v>
      </c>
      <c r="G23" s="8" t="s">
        <v>28</v>
      </c>
      <c r="H23" s="8" t="s">
        <v>29</v>
      </c>
      <c r="I23" s="8" t="s">
        <v>30</v>
      </c>
      <c r="J23" s="8" t="s">
        <v>31</v>
      </c>
      <c r="K23" s="8" t="s">
        <v>32</v>
      </c>
    </row>
    <row r="24" spans="1:11" ht="21.95" customHeight="1">
      <c r="A24" s="19">
        <f>Datos!A14</f>
        <v>2</v>
      </c>
      <c r="B24" s="19">
        <f>Datos!B14</f>
        <v>0</v>
      </c>
      <c r="C24" s="19">
        <f t="shared" ref="C24:C32" si="0">B24*1000</f>
        <v>0</v>
      </c>
      <c r="D24" s="20">
        <f>Datos!C14</f>
        <v>0</v>
      </c>
      <c r="E24" s="21">
        <f t="shared" ref="E24:E32" si="1">C24*$D$12^3/(48*$D$15*$D$17)</f>
        <v>0</v>
      </c>
      <c r="F24" s="20">
        <f t="shared" ref="F24:F32" si="2">E24*1000</f>
        <v>0</v>
      </c>
      <c r="G24" s="20">
        <f t="shared" ref="G24:G32" si="3">D24-F24</f>
        <v>0</v>
      </c>
      <c r="H24" s="20">
        <f t="shared" ref="H24:H32" si="4">ABS(G24)</f>
        <v>0</v>
      </c>
      <c r="I24" s="22" t="str">
        <f t="shared" ref="I24:I32" si="5">IF(B24=0,"n.a.",H24/ABS(F24))</f>
        <v>n.a.</v>
      </c>
      <c r="J24" s="23" t="str">
        <f t="shared" ref="J24:J32" si="6">IF(B24=0,"n.a.",D24/B24)</f>
        <v>n.a.</v>
      </c>
      <c r="K24" s="23" t="str">
        <f t="shared" ref="K24:K32" si="7">IF(B24=0,"n.a.",F24/B24)</f>
        <v>n.a.</v>
      </c>
    </row>
    <row r="25" spans="1:11" ht="21.95" customHeight="1">
      <c r="A25" s="14">
        <f>Datos!A15</f>
        <v>3</v>
      </c>
      <c r="B25" s="14">
        <f>Datos!B15</f>
        <v>5</v>
      </c>
      <c r="C25" s="14">
        <f t="shared" si="0"/>
        <v>5000</v>
      </c>
      <c r="D25" s="15">
        <f>Datos!C15</f>
        <v>0.26</v>
      </c>
      <c r="E25" s="16">
        <f t="shared" si="1"/>
        <v>2.4999999999999995E-4</v>
      </c>
      <c r="F25" s="15">
        <f t="shared" si="2"/>
        <v>0.24999999999999994</v>
      </c>
      <c r="G25" s="15">
        <f t="shared" si="3"/>
        <v>1.0000000000000064E-2</v>
      </c>
      <c r="H25" s="15">
        <f t="shared" si="4"/>
        <v>1.0000000000000064E-2</v>
      </c>
      <c r="I25" s="17">
        <f t="shared" si="5"/>
        <v>4.0000000000000265E-2</v>
      </c>
      <c r="J25" s="18">
        <f t="shared" si="6"/>
        <v>5.2000000000000005E-2</v>
      </c>
      <c r="K25" s="18">
        <f t="shared" si="7"/>
        <v>4.9999999999999989E-2</v>
      </c>
    </row>
    <row r="26" spans="1:11" ht="21.95" customHeight="1">
      <c r="A26" s="19">
        <f>Datos!A16</f>
        <v>4</v>
      </c>
      <c r="B26" s="19">
        <f>Datos!B16</f>
        <v>10</v>
      </c>
      <c r="C26" s="19">
        <f t="shared" si="0"/>
        <v>10000</v>
      </c>
      <c r="D26" s="20">
        <f>Datos!C16</f>
        <v>0.5</v>
      </c>
      <c r="E26" s="21">
        <f t="shared" si="1"/>
        <v>4.999999999999999E-4</v>
      </c>
      <c r="F26" s="20">
        <f t="shared" si="2"/>
        <v>0.49999999999999989</v>
      </c>
      <c r="G26" s="20">
        <f t="shared" si="3"/>
        <v>0</v>
      </c>
      <c r="H26" s="20">
        <f t="shared" si="4"/>
        <v>0</v>
      </c>
      <c r="I26" s="22">
        <f t="shared" si="5"/>
        <v>0</v>
      </c>
      <c r="J26" s="23">
        <f t="shared" si="6"/>
        <v>0.05</v>
      </c>
      <c r="K26" s="23">
        <f t="shared" si="7"/>
        <v>4.9999999999999989E-2</v>
      </c>
    </row>
    <row r="27" spans="1:11" ht="21.95" customHeight="1">
      <c r="A27" s="14">
        <f>Datos!A17</f>
        <v>5</v>
      </c>
      <c r="B27" s="14">
        <f>Datos!B17</f>
        <v>15</v>
      </c>
      <c r="C27" s="14">
        <f t="shared" si="0"/>
        <v>15000</v>
      </c>
      <c r="D27" s="15">
        <f>Datos!C17</f>
        <v>0.76</v>
      </c>
      <c r="E27" s="16">
        <f t="shared" si="1"/>
        <v>7.4999999999999991E-4</v>
      </c>
      <c r="F27" s="15">
        <f t="shared" si="2"/>
        <v>0.74999999999999989</v>
      </c>
      <c r="G27" s="15">
        <f t="shared" si="3"/>
        <v>1.000000000000012E-2</v>
      </c>
      <c r="H27" s="15">
        <f t="shared" si="4"/>
        <v>1.000000000000012E-2</v>
      </c>
      <c r="I27" s="17">
        <f t="shared" si="5"/>
        <v>1.3333333333333496E-2</v>
      </c>
      <c r="J27" s="18">
        <f t="shared" si="6"/>
        <v>5.0666666666666665E-2</v>
      </c>
      <c r="K27" s="18">
        <f t="shared" si="7"/>
        <v>4.9999999999999996E-2</v>
      </c>
    </row>
    <row r="28" spans="1:11" ht="21.95" customHeight="1">
      <c r="A28" s="19">
        <f>Datos!A18</f>
        <v>6</v>
      </c>
      <c r="B28" s="19">
        <f>Datos!B18</f>
        <v>20</v>
      </c>
      <c r="C28" s="19">
        <f t="shared" si="0"/>
        <v>20000</v>
      </c>
      <c r="D28" s="20">
        <f>Datos!C18</f>
        <v>1.01</v>
      </c>
      <c r="E28" s="21">
        <f t="shared" si="1"/>
        <v>9.999999999999998E-4</v>
      </c>
      <c r="F28" s="20">
        <f t="shared" si="2"/>
        <v>0.99999999999999978</v>
      </c>
      <c r="G28" s="20">
        <f t="shared" si="3"/>
        <v>1.0000000000000231E-2</v>
      </c>
      <c r="H28" s="20">
        <f t="shared" si="4"/>
        <v>1.0000000000000231E-2</v>
      </c>
      <c r="I28" s="22">
        <f t="shared" si="5"/>
        <v>1.0000000000000233E-2</v>
      </c>
      <c r="J28" s="23">
        <f t="shared" si="6"/>
        <v>5.0500000000000003E-2</v>
      </c>
      <c r="K28" s="23">
        <f t="shared" si="7"/>
        <v>4.9999999999999989E-2</v>
      </c>
    </row>
    <row r="29" spans="1:11" ht="21.95" customHeight="1">
      <c r="A29" s="14">
        <f>Datos!A19</f>
        <v>7</v>
      </c>
      <c r="B29" s="14">
        <f>Datos!B19</f>
        <v>25</v>
      </c>
      <c r="C29" s="14">
        <f t="shared" si="0"/>
        <v>25000</v>
      </c>
      <c r="D29" s="15">
        <f>Datos!C19</f>
        <v>1.28</v>
      </c>
      <c r="E29" s="16">
        <f t="shared" si="1"/>
        <v>1.2499999999999998E-3</v>
      </c>
      <c r="F29" s="15">
        <f t="shared" si="2"/>
        <v>1.2499999999999998</v>
      </c>
      <c r="G29" s="15">
        <f t="shared" si="3"/>
        <v>3.0000000000000249E-2</v>
      </c>
      <c r="H29" s="15">
        <f t="shared" si="4"/>
        <v>3.0000000000000249E-2</v>
      </c>
      <c r="I29" s="17">
        <f t="shared" si="5"/>
        <v>2.4000000000000202E-2</v>
      </c>
      <c r="J29" s="18">
        <f t="shared" si="6"/>
        <v>5.1200000000000002E-2</v>
      </c>
      <c r="K29" s="18">
        <f t="shared" si="7"/>
        <v>4.9999999999999989E-2</v>
      </c>
    </row>
    <row r="30" spans="1:11" ht="21.95" customHeight="1">
      <c r="A30" s="19">
        <f>Datos!A20</f>
        <v>8</v>
      </c>
      <c r="B30" s="19">
        <f>Datos!B20</f>
        <v>30</v>
      </c>
      <c r="C30" s="19">
        <f t="shared" si="0"/>
        <v>30000</v>
      </c>
      <c r="D30" s="20">
        <f>Datos!C20</f>
        <v>1.54</v>
      </c>
      <c r="E30" s="21">
        <f t="shared" si="1"/>
        <v>1.4999999999999998E-3</v>
      </c>
      <c r="F30" s="20">
        <f t="shared" si="2"/>
        <v>1.4999999999999998</v>
      </c>
      <c r="G30" s="20">
        <f t="shared" si="3"/>
        <v>4.0000000000000258E-2</v>
      </c>
      <c r="H30" s="20">
        <f t="shared" si="4"/>
        <v>4.0000000000000258E-2</v>
      </c>
      <c r="I30" s="22">
        <f t="shared" si="5"/>
        <v>2.6666666666666842E-2</v>
      </c>
      <c r="J30" s="23">
        <f t="shared" si="6"/>
        <v>5.1333333333333335E-2</v>
      </c>
      <c r="K30" s="23">
        <f t="shared" si="7"/>
        <v>4.9999999999999996E-2</v>
      </c>
    </row>
    <row r="31" spans="1:11" ht="21.95" customHeight="1">
      <c r="A31" s="14">
        <f>Datos!A21</f>
        <v>9</v>
      </c>
      <c r="B31" s="14">
        <f>Datos!B21</f>
        <v>35</v>
      </c>
      <c r="C31" s="14">
        <f t="shared" si="0"/>
        <v>35000</v>
      </c>
      <c r="D31" s="15">
        <f>Datos!C21</f>
        <v>1.77</v>
      </c>
      <c r="E31" s="16">
        <f t="shared" si="1"/>
        <v>1.7499999999999996E-3</v>
      </c>
      <c r="F31" s="15">
        <f t="shared" si="2"/>
        <v>1.7499999999999996</v>
      </c>
      <c r="G31" s="15">
        <f t="shared" si="3"/>
        <v>2.0000000000000462E-2</v>
      </c>
      <c r="H31" s="15">
        <f t="shared" si="4"/>
        <v>2.0000000000000462E-2</v>
      </c>
      <c r="I31" s="17">
        <f t="shared" si="5"/>
        <v>1.1428571428571696E-2</v>
      </c>
      <c r="J31" s="18">
        <f t="shared" si="6"/>
        <v>5.0571428571428573E-2</v>
      </c>
      <c r="K31" s="18">
        <f t="shared" si="7"/>
        <v>4.9999999999999989E-2</v>
      </c>
    </row>
    <row r="32" spans="1:11" ht="21.95" customHeight="1">
      <c r="A32" s="19">
        <f>Datos!A22</f>
        <v>10</v>
      </c>
      <c r="B32" s="19">
        <f>Datos!B22</f>
        <v>40</v>
      </c>
      <c r="C32" s="19">
        <f t="shared" si="0"/>
        <v>40000</v>
      </c>
      <c r="D32" s="20">
        <f>Datos!C22</f>
        <v>2.0499999999999998</v>
      </c>
      <c r="E32" s="21">
        <f t="shared" si="1"/>
        <v>1.9999999999999996E-3</v>
      </c>
      <c r="F32" s="20">
        <f t="shared" si="2"/>
        <v>1.9999999999999996</v>
      </c>
      <c r="G32" s="20">
        <f t="shared" si="3"/>
        <v>5.0000000000000266E-2</v>
      </c>
      <c r="H32" s="20">
        <f t="shared" si="4"/>
        <v>5.0000000000000266E-2</v>
      </c>
      <c r="I32" s="22">
        <f t="shared" si="5"/>
        <v>2.500000000000014E-2</v>
      </c>
      <c r="J32" s="23">
        <f t="shared" si="6"/>
        <v>5.1249999999999997E-2</v>
      </c>
      <c r="K32" s="23">
        <f t="shared" si="7"/>
        <v>4.9999999999999989E-2</v>
      </c>
    </row>
    <row r="33" spans="1:11" ht="21.9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21.95" customHeight="1">
      <c r="A34" s="32" t="s">
        <v>33</v>
      </c>
      <c r="B34" s="33"/>
      <c r="C34" s="33"/>
      <c r="D34" s="33"/>
      <c r="E34" s="33"/>
      <c r="F34" s="33"/>
      <c r="G34" s="1"/>
      <c r="H34" s="1"/>
      <c r="I34" s="1"/>
      <c r="J34" s="1"/>
      <c r="K34" s="1"/>
    </row>
    <row r="35" spans="1:11" ht="21.95" customHeight="1">
      <c r="A35" s="32" t="s">
        <v>34</v>
      </c>
      <c r="B35" s="33"/>
      <c r="C35" s="33"/>
      <c r="D35" s="33"/>
      <c r="E35" s="33"/>
      <c r="F35" s="33"/>
      <c r="G35" s="1"/>
      <c r="H35" s="1"/>
      <c r="I35" s="1"/>
      <c r="J35" s="1"/>
      <c r="K35" s="1"/>
    </row>
    <row r="36" spans="1:11" ht="21.9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21.95" customHeight="1">
      <c r="A37" s="26" t="s">
        <v>35</v>
      </c>
      <c r="B37" s="27"/>
      <c r="C37" s="27"/>
      <c r="D37" s="27"/>
      <c r="E37" s="27"/>
      <c r="F37" s="27"/>
      <c r="G37" s="1"/>
      <c r="H37" s="1"/>
      <c r="I37" s="1"/>
      <c r="J37" s="1"/>
      <c r="K37" s="1"/>
    </row>
    <row r="38" spans="1:11" ht="21.95" customHeight="1">
      <c r="A38" s="27"/>
      <c r="B38" s="27"/>
      <c r="C38" s="27"/>
      <c r="D38" s="27"/>
      <c r="E38" s="27"/>
      <c r="F38" s="27"/>
      <c r="G38" s="1"/>
      <c r="H38" s="1"/>
      <c r="I38" s="1"/>
      <c r="J38" s="1"/>
      <c r="K38" s="1"/>
    </row>
    <row r="39" spans="1:11" ht="21.95" customHeight="1">
      <c r="A39" s="27" t="s">
        <v>36</v>
      </c>
      <c r="B39" s="27"/>
      <c r="C39" s="27"/>
      <c r="D39" s="27"/>
      <c r="E39" s="28">
        <f>MIN(J24:J32)</f>
        <v>0.05</v>
      </c>
      <c r="F39" s="27" t="s">
        <v>19</v>
      </c>
      <c r="G39" s="1"/>
      <c r="H39" s="1"/>
      <c r="I39" s="1"/>
      <c r="J39" s="1"/>
      <c r="K39" s="1"/>
    </row>
    <row r="40" spans="1:11" ht="21.95" customHeight="1">
      <c r="A40" s="27" t="s">
        <v>37</v>
      </c>
      <c r="B40" s="27"/>
      <c r="C40" s="27"/>
      <c r="D40" s="27"/>
      <c r="E40" s="28">
        <f>MAX(J24:J32)</f>
        <v>5.2000000000000005E-2</v>
      </c>
      <c r="F40" s="27" t="s">
        <v>19</v>
      </c>
      <c r="G40" s="1"/>
      <c r="H40" s="1"/>
      <c r="I40" s="1"/>
      <c r="J40" s="1"/>
      <c r="K40" s="1"/>
    </row>
    <row r="41" spans="1:11" ht="21.95" customHeight="1">
      <c r="A41" s="27" t="s">
        <v>38</v>
      </c>
      <c r="B41" s="27"/>
      <c r="C41" s="27"/>
      <c r="D41" s="27"/>
      <c r="E41" s="28">
        <f>AVERAGE(J24:J32)</f>
        <v>5.0940178571428574E-2</v>
      </c>
      <c r="F41" s="27" t="s">
        <v>19</v>
      </c>
      <c r="G41" s="1"/>
      <c r="H41" s="1"/>
      <c r="I41" s="1"/>
      <c r="J41" s="1"/>
      <c r="K41" s="1"/>
    </row>
    <row r="42" spans="1:11" ht="21.95" customHeight="1">
      <c r="A42" s="27" t="s">
        <v>18</v>
      </c>
      <c r="B42" s="27"/>
      <c r="C42" s="27"/>
      <c r="D42" s="27"/>
      <c r="E42" s="28">
        <f>D18</f>
        <v>4.9999999999999989E-2</v>
      </c>
      <c r="F42" s="27" t="s">
        <v>19</v>
      </c>
      <c r="G42" s="1"/>
      <c r="H42" s="1"/>
      <c r="I42" s="1"/>
      <c r="J42" s="1"/>
      <c r="K42" s="1"/>
    </row>
    <row r="43" spans="1:11" ht="21.95" customHeight="1">
      <c r="A43" s="27"/>
      <c r="B43" s="27"/>
      <c r="C43" s="27"/>
      <c r="D43" s="27"/>
      <c r="E43" s="27"/>
      <c r="F43" s="27"/>
      <c r="G43" s="1"/>
      <c r="H43" s="1"/>
      <c r="I43" s="1"/>
      <c r="J43" s="1"/>
      <c r="K43" s="1"/>
    </row>
    <row r="44" spans="1:11" ht="21.95" customHeight="1">
      <c r="A44" s="26" t="s">
        <v>39</v>
      </c>
      <c r="B44" s="27"/>
      <c r="C44" s="27"/>
      <c r="D44" s="27"/>
      <c r="E44" s="1"/>
      <c r="F44" s="1"/>
      <c r="G44" s="1"/>
      <c r="H44" s="1"/>
      <c r="I44" s="1"/>
      <c r="J44" s="1"/>
      <c r="K44" s="1"/>
    </row>
    <row r="45" spans="1:11" ht="21.95" customHeight="1">
      <c r="A45" s="27" t="s">
        <v>40</v>
      </c>
      <c r="B45" s="29">
        <f>Datos!B6*1000</f>
        <v>4000</v>
      </c>
      <c r="C45" s="27" t="s">
        <v>4</v>
      </c>
      <c r="D45" s="27"/>
      <c r="E45" s="1"/>
      <c r="F45" s="1"/>
      <c r="G45" s="1"/>
      <c r="H45" s="1"/>
      <c r="I45" s="1"/>
      <c r="J45" s="1"/>
      <c r="K45" s="1"/>
    </row>
    <row r="46" spans="1:11" ht="21.95" customHeight="1">
      <c r="A46" s="27" t="s">
        <v>41</v>
      </c>
      <c r="B46" s="29">
        <f>Datos!B7*1000</f>
        <v>200</v>
      </c>
      <c r="C46" s="27" t="s">
        <v>4</v>
      </c>
      <c r="D46" s="27"/>
      <c r="E46" s="1"/>
      <c r="F46" s="1"/>
      <c r="G46" s="1"/>
      <c r="H46" s="1"/>
      <c r="I46" s="1"/>
      <c r="J46" s="1"/>
      <c r="K46" s="1"/>
    </row>
    <row r="47" spans="1:11" ht="21.95" customHeight="1">
      <c r="A47" s="27" t="s">
        <v>42</v>
      </c>
      <c r="B47" s="29">
        <f>Datos!B8*1000</f>
        <v>400</v>
      </c>
      <c r="C47" s="27" t="s">
        <v>4</v>
      </c>
      <c r="D47" s="27"/>
      <c r="E47" s="1"/>
      <c r="F47" s="1"/>
      <c r="G47" s="1"/>
      <c r="H47" s="1"/>
      <c r="I47" s="1"/>
      <c r="J47" s="1"/>
      <c r="K47" s="1"/>
    </row>
    <row r="48" spans="1:11" ht="21.95" customHeight="1">
      <c r="A48" s="27" t="s">
        <v>43</v>
      </c>
      <c r="B48" s="29">
        <f>Datos!B9*1000</f>
        <v>25000</v>
      </c>
      <c r="C48" s="27" t="s">
        <v>44</v>
      </c>
      <c r="D48" s="27"/>
      <c r="E48" s="1"/>
      <c r="F48" s="1"/>
      <c r="G48" s="1"/>
      <c r="H48" s="1"/>
      <c r="I48" s="1"/>
      <c r="J48" s="1"/>
      <c r="K48" s="1"/>
    </row>
    <row r="49" spans="1:11" ht="21.95" customHeight="1">
      <c r="A49" s="27" t="s">
        <v>45</v>
      </c>
      <c r="B49" s="30">
        <f>B46*B47^3/12</f>
        <v>1066666666.6666666</v>
      </c>
      <c r="C49" s="27" t="s">
        <v>46</v>
      </c>
      <c r="D49" s="27"/>
      <c r="E49" s="1"/>
      <c r="F49" s="1"/>
      <c r="G49" s="1"/>
      <c r="H49" s="1"/>
      <c r="I49" s="1"/>
      <c r="J49" s="1"/>
      <c r="K49" s="1"/>
    </row>
    <row r="50" spans="1:11" ht="21.95" customHeight="1">
      <c r="A50" s="27" t="s">
        <v>47</v>
      </c>
      <c r="B50" s="29">
        <f>Datos!B22*1000</f>
        <v>40000</v>
      </c>
      <c r="C50" s="27" t="s">
        <v>48</v>
      </c>
      <c r="D50" s="27"/>
      <c r="E50" s="1"/>
      <c r="F50" s="1"/>
      <c r="G50" s="1"/>
      <c r="H50" s="1"/>
      <c r="I50" s="1"/>
      <c r="J50" s="1"/>
      <c r="K50" s="1"/>
    </row>
    <row r="51" spans="1:11" ht="21.95" customHeight="1">
      <c r="A51" s="27" t="s">
        <v>49</v>
      </c>
      <c r="B51" s="31">
        <f>B50*B45^3/(48*B48*B49)</f>
        <v>2</v>
      </c>
      <c r="C51" s="27" t="s">
        <v>4</v>
      </c>
      <c r="D51" s="27"/>
      <c r="E51" s="1"/>
      <c r="F51" s="1"/>
      <c r="G51" s="1"/>
      <c r="H51" s="1"/>
      <c r="I51" s="1"/>
      <c r="J51" s="1"/>
      <c r="K51" s="1"/>
    </row>
    <row r="52" spans="1:11" ht="21.95" customHeight="1">
      <c r="A52" s="27" t="s">
        <v>50</v>
      </c>
      <c r="B52" s="31">
        <f>ABS(B51-F32)</f>
        <v>4.4408920985006262E-16</v>
      </c>
      <c r="C52" s="27" t="s">
        <v>4</v>
      </c>
      <c r="D52" s="27"/>
      <c r="E52" s="1"/>
      <c r="F52" s="1"/>
      <c r="G52" s="1"/>
      <c r="H52" s="1"/>
      <c r="I52" s="1"/>
      <c r="J52" s="1"/>
      <c r="K52" s="1"/>
    </row>
    <row r="53" spans="1:11" ht="21.9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21.95" customHeight="1">
      <c r="A54" s="1"/>
      <c r="B54" s="1"/>
      <c r="C54" s="1"/>
      <c r="D54" s="1"/>
      <c r="E54" s="1"/>
    </row>
    <row r="55" spans="1:11" ht="21.95" customHeight="1">
      <c r="A55" s="1"/>
      <c r="B55" s="1"/>
      <c r="C55" s="1"/>
      <c r="D55" s="1"/>
      <c r="E55" s="1"/>
    </row>
    <row r="56" spans="1:11" ht="21.95" customHeight="1">
      <c r="A56" s="1"/>
      <c r="B56" s="1"/>
      <c r="C56" s="1"/>
      <c r="D56" s="1"/>
      <c r="E56" s="1"/>
    </row>
    <row r="57" spans="1:11" ht="21.95" customHeight="1">
      <c r="A57" s="1"/>
      <c r="B57" s="1"/>
      <c r="C57" s="1"/>
      <c r="D57" s="1"/>
      <c r="E57" s="1"/>
    </row>
    <row r="58" spans="1:11" ht="21.95" customHeight="1">
      <c r="A58" s="1"/>
      <c r="B58" s="1"/>
      <c r="C58" s="1"/>
      <c r="D58" s="1"/>
      <c r="E58" s="1"/>
    </row>
    <row r="59" spans="1:11" ht="21.9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9"/>
  <sheetViews>
    <sheetView showGridLines="0" workbookViewId="0"/>
  </sheetViews>
  <sheetFormatPr baseColWidth="10" defaultColWidth="9" defaultRowHeight="14.25"/>
  <cols>
    <col min="1" max="2" width="17" customWidth="1"/>
    <col min="3" max="3" width="25" customWidth="1"/>
    <col min="4" max="4" width="32" customWidth="1"/>
  </cols>
  <sheetData>
    <row r="1" spans="1:11" ht="21.9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1.95" customHeight="1">
      <c r="A2" s="2" t="s">
        <v>51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1.9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1.95" customHeight="1">
      <c r="A4" s="7" t="s">
        <v>52</v>
      </c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44.1" customHeight="1">
      <c r="A5" s="8" t="s">
        <v>53</v>
      </c>
      <c r="B5" s="8" t="s">
        <v>54</v>
      </c>
      <c r="C5" s="8" t="s">
        <v>12</v>
      </c>
      <c r="D5" s="8" t="s">
        <v>55</v>
      </c>
      <c r="E5" s="1"/>
      <c r="F5" s="1"/>
      <c r="G5" s="1"/>
      <c r="H5" s="1"/>
      <c r="I5" s="1"/>
      <c r="J5" s="1"/>
      <c r="K5" s="1"/>
    </row>
    <row r="6" spans="1:11" ht="21.95" customHeight="1">
      <c r="A6" s="1" t="s">
        <v>40</v>
      </c>
      <c r="B6" s="24">
        <v>4</v>
      </c>
      <c r="C6" s="1" t="s">
        <v>14</v>
      </c>
      <c r="D6" s="1" t="s">
        <v>56</v>
      </c>
      <c r="E6" s="1"/>
      <c r="F6" s="1"/>
      <c r="G6" s="1"/>
      <c r="H6" s="1"/>
      <c r="I6" s="1"/>
      <c r="J6" s="1"/>
      <c r="K6" s="1"/>
    </row>
    <row r="7" spans="1:11" ht="21.95" customHeight="1">
      <c r="A7" s="1" t="s">
        <v>41</v>
      </c>
      <c r="B7" s="24">
        <v>0.2</v>
      </c>
      <c r="C7" s="1" t="s">
        <v>14</v>
      </c>
      <c r="D7" s="1" t="s">
        <v>57</v>
      </c>
      <c r="E7" s="1"/>
      <c r="F7" s="1"/>
      <c r="G7" s="1"/>
      <c r="H7" s="1"/>
      <c r="I7" s="1"/>
      <c r="J7" s="1"/>
      <c r="K7" s="1"/>
    </row>
    <row r="8" spans="1:11" ht="21.95" customHeight="1">
      <c r="A8" s="1" t="s">
        <v>42</v>
      </c>
      <c r="B8" s="24">
        <v>0.4</v>
      </c>
      <c r="C8" s="1" t="s">
        <v>14</v>
      </c>
      <c r="D8" s="1" t="s">
        <v>58</v>
      </c>
      <c r="E8" s="1"/>
      <c r="F8" s="1"/>
      <c r="G8" s="1"/>
      <c r="H8" s="1"/>
      <c r="I8" s="1"/>
      <c r="J8" s="1"/>
      <c r="K8" s="1"/>
    </row>
    <row r="9" spans="1:11" ht="21.95" customHeight="1">
      <c r="A9" s="1" t="s">
        <v>43</v>
      </c>
      <c r="B9" s="24">
        <v>25</v>
      </c>
      <c r="C9" s="1" t="s">
        <v>59</v>
      </c>
      <c r="D9" s="1" t="s">
        <v>60</v>
      </c>
      <c r="E9" s="1"/>
      <c r="F9" s="1"/>
      <c r="G9" s="1"/>
      <c r="H9" s="1"/>
      <c r="I9" s="1"/>
      <c r="J9" s="1"/>
      <c r="K9" s="1"/>
    </row>
    <row r="10" spans="1:11" ht="21.9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21.95" customHeight="1">
      <c r="A11" s="7" t="s">
        <v>61</v>
      </c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1.95" customHeight="1">
      <c r="A12" s="7" t="s">
        <v>62</v>
      </c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ht="44.1" customHeight="1">
      <c r="A13" s="8" t="s">
        <v>22</v>
      </c>
      <c r="B13" s="8" t="s">
        <v>63</v>
      </c>
      <c r="C13" s="8" t="s">
        <v>64</v>
      </c>
      <c r="D13" s="1"/>
      <c r="E13" s="1"/>
      <c r="F13" s="1"/>
      <c r="G13" s="1"/>
      <c r="H13" s="1"/>
      <c r="I13" s="1"/>
      <c r="J13" s="1"/>
      <c r="K13" s="1"/>
    </row>
    <row r="14" spans="1:11" ht="21.95" customHeight="1">
      <c r="A14" s="13">
        <v>2</v>
      </c>
      <c r="B14" s="25">
        <v>0</v>
      </c>
      <c r="C14" s="24">
        <v>0</v>
      </c>
      <c r="D14" s="1"/>
      <c r="E14" s="1"/>
      <c r="F14" s="1"/>
      <c r="G14" s="1"/>
      <c r="H14" s="1"/>
      <c r="I14" s="1"/>
      <c r="J14" s="1"/>
      <c r="K14" s="1"/>
    </row>
    <row r="15" spans="1:11" ht="21.95" customHeight="1">
      <c r="A15" s="13">
        <v>3</v>
      </c>
      <c r="B15" s="25">
        <v>5</v>
      </c>
      <c r="C15" s="24">
        <v>0.26</v>
      </c>
      <c r="D15" s="1"/>
      <c r="E15" s="1"/>
      <c r="F15" s="1"/>
      <c r="G15" s="1"/>
      <c r="H15" s="1"/>
      <c r="I15" s="1"/>
      <c r="J15" s="1"/>
      <c r="K15" s="1"/>
    </row>
    <row r="16" spans="1:11" ht="21.95" customHeight="1">
      <c r="A16" s="13">
        <v>4</v>
      </c>
      <c r="B16" s="25">
        <v>10</v>
      </c>
      <c r="C16" s="24">
        <v>0.5</v>
      </c>
      <c r="D16" s="1"/>
      <c r="E16" s="1"/>
      <c r="F16" s="1"/>
      <c r="G16" s="1"/>
      <c r="H16" s="1"/>
      <c r="I16" s="1"/>
      <c r="J16" s="1"/>
      <c r="K16" s="1"/>
    </row>
    <row r="17" spans="1:11" ht="21.95" customHeight="1">
      <c r="A17" s="13">
        <v>5</v>
      </c>
      <c r="B17" s="25">
        <v>15</v>
      </c>
      <c r="C17" s="24">
        <v>0.76</v>
      </c>
      <c r="D17" s="1"/>
      <c r="E17" s="1"/>
      <c r="F17" s="1"/>
      <c r="G17" s="1"/>
      <c r="H17" s="1"/>
      <c r="I17" s="1"/>
      <c r="J17" s="1"/>
      <c r="K17" s="1"/>
    </row>
    <row r="18" spans="1:11" ht="21.95" customHeight="1">
      <c r="A18" s="13">
        <v>6</v>
      </c>
      <c r="B18" s="25">
        <v>20</v>
      </c>
      <c r="C18" s="24">
        <v>1.01</v>
      </c>
      <c r="D18" s="1"/>
      <c r="E18" s="1"/>
      <c r="F18" s="1"/>
      <c r="G18" s="1"/>
      <c r="H18" s="1"/>
      <c r="I18" s="1"/>
      <c r="J18" s="1"/>
      <c r="K18" s="1"/>
    </row>
    <row r="19" spans="1:11" ht="21.95" customHeight="1">
      <c r="A19" s="13">
        <v>7</v>
      </c>
      <c r="B19" s="25">
        <v>25</v>
      </c>
      <c r="C19" s="24">
        <v>1.28</v>
      </c>
      <c r="D19" s="1"/>
      <c r="E19" s="1"/>
      <c r="F19" s="1"/>
      <c r="G19" s="1"/>
      <c r="H19" s="1"/>
      <c r="I19" s="1"/>
      <c r="J19" s="1"/>
      <c r="K19" s="1"/>
    </row>
    <row r="20" spans="1:11" ht="21.95" customHeight="1">
      <c r="A20" s="13">
        <v>8</v>
      </c>
      <c r="B20" s="25">
        <v>30</v>
      </c>
      <c r="C20" s="24">
        <v>1.54</v>
      </c>
      <c r="D20" s="1"/>
      <c r="E20" s="1"/>
      <c r="F20" s="1"/>
      <c r="G20" s="1"/>
      <c r="H20" s="1"/>
      <c r="I20" s="1"/>
      <c r="J20" s="1"/>
      <c r="K20" s="1"/>
    </row>
    <row r="21" spans="1:11" ht="21.95" customHeight="1">
      <c r="A21" s="13">
        <v>9</v>
      </c>
      <c r="B21" s="25">
        <v>35</v>
      </c>
      <c r="C21" s="24">
        <v>1.77</v>
      </c>
      <c r="D21" s="1"/>
      <c r="E21" s="1"/>
      <c r="F21" s="1"/>
      <c r="G21" s="1"/>
      <c r="H21" s="1"/>
      <c r="I21" s="1"/>
      <c r="J21" s="1"/>
      <c r="K21" s="1"/>
    </row>
    <row r="22" spans="1:11" ht="21.95" customHeight="1">
      <c r="A22" s="13">
        <v>10</v>
      </c>
      <c r="B22" s="25">
        <v>40</v>
      </c>
      <c r="C22" s="24">
        <v>2.0499999999999998</v>
      </c>
      <c r="D22" s="1"/>
      <c r="E22" s="1"/>
      <c r="F22" s="1"/>
      <c r="G22" s="1"/>
      <c r="H22" s="1"/>
      <c r="I22" s="1"/>
      <c r="J22" s="1"/>
      <c r="K22" s="1"/>
    </row>
    <row r="23" spans="1:11" ht="21.9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21.95" customHeight="1">
      <c r="A24" s="7" t="s">
        <v>65</v>
      </c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ht="21.9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21.95" customHeight="1">
      <c r="A26" s="7" t="s">
        <v>66</v>
      </c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21.9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21.9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21.9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21.9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21.9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21.9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21.9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21.9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21.9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21.9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21.9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21.9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21.9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21.9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21.9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21.9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21.9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21.9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21.9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21.9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21.9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21.9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21.9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21.9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21.9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21.9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21.9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21.9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21.9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21.9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21.9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21.9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21.9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Analisis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Usuariio</cp:lastModifiedBy>
  <dcterms:modified xsi:type="dcterms:W3CDTF">2026-10-04T00:50:16Z</dcterms:modified>
</cp:coreProperties>
</file>